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NDATA11\halls1$\Desktop\"/>
    </mc:Choice>
  </mc:AlternateContent>
  <xr:revisionPtr revIDLastSave="0" documentId="13_ncr:1_{97209A8A-E409-46DB-98E4-63312D4487A9}" xr6:coauthVersionLast="47" xr6:coauthVersionMax="47" xr10:uidLastSave="{00000000-0000-0000-0000-000000000000}"/>
  <bookViews>
    <workbookView xWindow="-13455" yWindow="-16320" windowWidth="29040" windowHeight="15720" xr2:uid="{00000000-000D-0000-FFFF-FFFF00000000}"/>
  </bookViews>
  <sheets>
    <sheet name="Cover_sheet" sheetId="1" r:id="rId1"/>
    <sheet name="Contents" sheetId="2" r:id="rId2"/>
    <sheet name="Country_code_listings" sheetId="14" r:id="rId3"/>
    <sheet name="Notes" sheetId="3" r:id="rId4"/>
    <sheet name="Table_1" sheetId="4" r:id="rId5"/>
    <sheet name="Table_2a" sheetId="15" r:id="rId6"/>
    <sheet name="Table_2b" sheetId="16" r:id="rId7"/>
    <sheet name="Table_3" sheetId="7" r:id="rId8"/>
    <sheet name="Table_4" sheetId="8" r:id="rId9"/>
    <sheet name="Table_5" sheetId="9" r:id="rId10"/>
    <sheet name="Table_6a" sheetId="10" r:id="rId11"/>
    <sheet name="Table_6b" sheetId="11" r:id="rId12"/>
    <sheet name="Table_7" sheetId="13" r:id="rId13"/>
  </sheets>
  <definedNames>
    <definedName name="_xlnm.Print_Area" localSheetId="2">Country_code_listings!$A$1:$C$28</definedName>
    <definedName name="_xlnm.Print_Titles" localSheetId="2">Country_code_listings!$1:$3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 r="C17" i="3"/>
  <c r="A6" i="2"/>
  <c r="A15" i="2"/>
  <c r="A14" i="2"/>
  <c r="A13" i="2"/>
  <c r="A12" i="2"/>
  <c r="A11" i="2"/>
  <c r="A10" i="2"/>
  <c r="A9" i="2"/>
  <c r="A8" i="2"/>
  <c r="A7" i="2"/>
  <c r="A5" i="2"/>
  <c r="A4" i="2"/>
</calcChain>
</file>

<file path=xl/sharedStrings.xml><?xml version="1.0" encoding="utf-8"?>
<sst xmlns="http://schemas.openxmlformats.org/spreadsheetml/2006/main" count="3880" uniqueCount="1255">
  <si>
    <t>Information on parents' country of birth statistics</t>
  </si>
  <si>
    <t>Introduction</t>
  </si>
  <si>
    <t>Birth statistics represent births which occurred in England and Wales in the calendar year.  </t>
  </si>
  <si>
    <t>Birth registrations are compiled from information supplied when births are registered as part of civil registration, a legal requirement.  </t>
  </si>
  <si>
    <t>Births to women whose usual residence is outside England and Wales are included in total figures for England and Wales, but excluded from any sub-division of England and Wales by area of usual residence.  </t>
  </si>
  <si>
    <t>Country of birth is collected at birth registration, unlike ethnicity or migration history. Not all women born outside the UK will be recent in-migrants. Similarly, the UK-born will include the children of earlier in-migrants (the second and third generation). </t>
  </si>
  <si>
    <t>Updates in this release</t>
  </si>
  <si>
    <t>This release does not include fertility rates based on the Annual Population Survey (APS) data due to concerns about the data quality for age breakdowns caused by a reduced sample size.
More information can be found here in a letter published on the Office for Statistics Regulation website.</t>
  </si>
  <si>
    <t>Letter about APS published on the Office for Statistics Regulation website</t>
  </si>
  <si>
    <t xml:space="preserve">Additionally, the weighting of APS data does not yet incorporate population estimates rebased using Census 2021 of England and Wales, so fertility rates would not be comparable with the published total fertility rate series. </t>
  </si>
  <si>
    <t>Publication Dates</t>
  </si>
  <si>
    <t>Date of release: 27 May 2026
Next release: May 2027</t>
  </si>
  <si>
    <t>Quality and methodology</t>
  </si>
  <si>
    <t>The Birth Statistics Quality and Methodology Information document contains important information on:</t>
  </si>
  <si>
    <t>The strengths and limitations of the data
The quality of the output: including the accuracy of the data, how it compares with related data
Uses and users
How the output was created</t>
  </si>
  <si>
    <t>Birth Statistics Quality and Methodology Information</t>
  </si>
  <si>
    <t xml:space="preserve">Our User guide to birth statistics provides information on data quality, legislation and procedures relating to birth statistics. </t>
  </si>
  <si>
    <t>User guide to birth statistics</t>
  </si>
  <si>
    <t>The ONS policy on protecting confidentiality in birth and death statistics is available on our website.</t>
  </si>
  <si>
    <t>ONS policy on protecting confidentiality in birth and death statistics</t>
  </si>
  <si>
    <t>The annual births dataset</t>
  </si>
  <si>
    <t>ONS produce two births datasets. Totals in each dataset differ.</t>
  </si>
  <si>
    <t>This release uses the birth registrations dataset. </t>
  </si>
  <si>
    <t>1) The birth registrations dataset represents births which occurred in the calendar year, but includes a very small number of late registrations from the previous year. Normally our annual datasets include births occurring in the reference year that were registered by 25 February the following year as well as late registrations for births occurring in the year before the reference year, that were registered too late to be included in the previous year’s dataset (after 25 February). However, in 2020 registration services were disrupted by the coronavirus (Covid-19) pandemic which resulted in severe registration delays. These delays continued in 2021 and 2022. Therefore, for the 2020 data year we decided to move the cut-off point to 12 August 2021, for the 2021 data year we moved the cut-off point to 16 May 2022 and for the 2022 data year we moved the cut-off point to 18 April 2023 to minimise the impact on statistics in this release. For the 2023 data year, the cut-off point was 28 March 2023. In 2024, the cut-off date returned to 25 February. We discuss registration delays in 2020 and how it effects our statistics in more detail in this article: </t>
  </si>
  <si>
    <t>Births in England and Wales Explained: 2020 </t>
  </si>
  <si>
    <t>2) The linked births dataset includes birth registrations linked to their corresponding NHS birth notification to enable analysis of further factors such as gestation of live births and ethnicity of the baby. The subset of birth registrations linked to their corresponding notification is based on a true birth cohort, and does not include any late registrations. Since linkage began in 2007 over 99% of birth registration records have linked to a birth notification. The percentage each year is reported in the User Guide to birth statistics. </t>
  </si>
  <si>
    <t>The birth notification is a document completed by the doctor or midwife present at the birth. The notification provides certain data items, such as the gestational age and ethnicity of the baby (as stated by the mother). As such, totals in the birth registration and the linked births datasets differ. All tables in this release use the birth registrations dataset. Data from the birth registrations and linked births dataset are published as part of the Births in England and Wales release.</t>
  </si>
  <si>
    <t>Births in England and Wales</t>
  </si>
  <si>
    <t>Glossary</t>
  </si>
  <si>
    <t>Age of mother</t>
  </si>
  <si>
    <t>For births data up to and including 2017, where a missing age of mother could not be obtained from the corresponding birth notification, age of mother was imputed by drawing the age from a complete record with similar characteristics to the incomplete record. Imputation was discontinued in March 2018. For 2018 births data onwards, the remaining records where mother’s age is missing are included in the counts for ‘all ages’ but excluded from any age breakdowns.</t>
  </si>
  <si>
    <t>Country of birth</t>
  </si>
  <si>
    <t>The country of birth of parents has been recorded at birth registration since April 1969. The countries included within each country grouping used in the tables is provided on the 'Country code listings' tab and is based on the National Statistics Country Classification. The EU grouping represent the European Union as constituted in 2020. Live births which are solely registered by the mother contain no information on the father. Consequently there are a greater number of births which have no country of birth stated for the father than for the mother.  </t>
  </si>
  <si>
    <t>National Statistics Country Classification </t>
  </si>
  <si>
    <t>Impact of the Human Fertilisation and Embryology Act 2008 </t>
  </si>
  <si>
    <t>The Human Fertilisation and Embryology Act 2008 contained provisions enabling two females in a same sex couple to register a birth from 1 September 2009 onwards.  For births registered under the Human Fertilisation and Embryology Act, 2008, country of birth of the second parent has been included with country of birth of father. Given the relatively small number of births registered to same-sex couples, this has a negligible impact on the statistics. Live births registered to same-sex couples from 2009 onwards is reported each year in the User guide to birth statistics. </t>
  </si>
  <si>
    <t>Live birth </t>
  </si>
  <si>
    <t>A baby showing signs of life at birth. </t>
  </si>
  <si>
    <t>Unit and notes </t>
  </si>
  <si>
    <t>Some cells in the tables refer to notes which can be found in the notes worksheet. Note markers are presented in square brackets, for example: [note 1]. Some headings give units, when this is the case the units are presented in round brackets to differentiate them from note markers.</t>
  </si>
  <si>
    <t>Symbols and conventions</t>
  </si>
  <si>
    <t>In ONS birth statistics the symbols used are:</t>
  </si>
  <si>
    <t>0 denotes nil</t>
  </si>
  <si>
    <t>[z] denotes not applicable</t>
  </si>
  <si>
    <t>[x] denotes not available</t>
  </si>
  <si>
    <t>[low] denotes different from a true zero</t>
  </si>
  <si>
    <t>[u] denotes low reliability</t>
  </si>
  <si>
    <t>Guidance on the use of symbols in tables</t>
  </si>
  <si>
    <t>Further information and enquiries</t>
  </si>
  <si>
    <t>Special extracts and tabulations of births data for England and Wales are available to order for a charge (subject to legal frameworks, disclosure control, resources and the ONS charging policy where appropriate).</t>
  </si>
  <si>
    <t>ONS charging rates</t>
  </si>
  <si>
    <t>User requested data will be published onto our website.</t>
  </si>
  <si>
    <t>User requested data</t>
  </si>
  <si>
    <t>Access to microdata and disclosive data, that is, data which have the potential to identify an individual record, requires the approval of the ONS Microdata Release Procedure (MRP) before the data can be provided.</t>
  </si>
  <si>
    <t>Feedback and enquiries</t>
  </si>
  <si>
    <t>We welcome feedback from users.</t>
  </si>
  <si>
    <t>Email: Health.Data@ons.gov.uk</t>
  </si>
  <si>
    <t>Telephone: +44 (0) 1329444110</t>
  </si>
  <si>
    <t>An Accredited Official Statistics publication</t>
  </si>
  <si>
    <t>Accredited Official Statistics are produced to high professional standards set out in the Code of Practice for Statistics. They are produced free from any political interference.</t>
  </si>
  <si>
    <t>Code of Practice for Statistics</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</si>
  <si>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</si>
  <si>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meet identified user needs, are well explained and readily accessible, are produced according to sound methods, and are managed impartially and objectively in the public interest. </t>
  </si>
  <si>
    <t>Once statistics have been designated as Accredited Official Statistics, it is a statutory requirement that the Code of Practice shall continue to be observed.</t>
  </si>
  <si>
    <t xml:space="preserve">Copyright and reproduction </t>
  </si>
  <si>
    <t>© Crown copyright 2026</t>
  </si>
  <si>
    <t>You may re-use this document/publication (not including logos) free of charge in any format or medium, under the terms of the Open Government Licence. Users should include a source accreditation to ONS - Source: Office for National Statistics licensed under the Open Government Licence.</t>
  </si>
  <si>
    <t>To view this licence visit the open government license website</t>
  </si>
  <si>
    <t>Open Government License</t>
  </si>
  <si>
    <t>Or write to the Information Policy Team, The National Archives, Kew, Richmond, Surrey, TW9 4DU.</t>
  </si>
  <si>
    <t>Where we have identified any third party copyright information you will need to obtain permission from the copyright holders concerned.</t>
  </si>
  <si>
    <t>Related Publications</t>
  </si>
  <si>
    <t>Supporting information for these tables can be found in our User guide to birth statistics.</t>
  </si>
  <si>
    <t>Quality and Methodology Information</t>
  </si>
  <si>
    <t>A Quality and Methodology Information note for birth statistics.</t>
  </si>
  <si>
    <t>Parents' country of birth, England and Wales</t>
  </si>
  <si>
    <t>Landing page for all annual releases of this workbook.</t>
  </si>
  <si>
    <t>Birth Registrations</t>
  </si>
  <si>
    <t>Landing page for all annual releases of Birth Registrations. This is one of the three datasets for the Births in England and Wales bulletin.</t>
  </si>
  <si>
    <t>Linked Births</t>
  </si>
  <si>
    <t>Landing page for all annual releases of Linked Births. This is one of the three datasets for the Births in England and Wales bulletin.</t>
  </si>
  <si>
    <t>Baby names for girls in England and Wales</t>
  </si>
  <si>
    <t>Annual releases on the rank and count of the top names for baby girls, changes in rank since the previous year and breakdown by country, region, mother's age and month of birth.</t>
  </si>
  <si>
    <t>Baby names for boys in England and Wales</t>
  </si>
  <si>
    <t>Annual releases on the rank and count of the top names for baby boys, changes in rank since the previous year and breakdown by country, region, mother's age and month of birth.</t>
  </si>
  <si>
    <t>Child and infant mortality in England and Wales Statistical bulletins</t>
  </si>
  <si>
    <t>Annual releases oon stillbirths, infant and childhood deaths occurring annually in England and Wales, and associated risk factors.</t>
  </si>
  <si>
    <t>Births in England and Wales: summary tables</t>
  </si>
  <si>
    <t>Annual key birth statistics in England and Wales based on birth summary tables for that reference year.Dataset was replaced by this release.</t>
  </si>
  <si>
    <t>Birth characteristics, England and Wales</t>
  </si>
  <si>
    <t>Presents annual data on births in England and Wales for stillbirths (including figures by age of parents and quarter of occurrence), live births (by sex, ethnicity, month and quarter of occurrence), multiple births, place of birth (including NHS establishments and home), gestational age at birth/stillbirth, and birthweight data for live and stillbirths by mother's region of usual residence. Dataset was replaced by this release.</t>
  </si>
  <si>
    <t>Births by parents' characteristics, England and Wales</t>
  </si>
  <si>
    <t>Provides live birth, stillbirth and maternity statistics by age of mother and type of registration (within marriage/civil partnership, joint, sole). It also provides data on previous live-born children, National Statistics Socio-Economic Classification (NS-SEC), median birth intervals, age-specific fertility rates for men and mean age of fathers. All tables are for England and Wales as a whole with no subnational breakdown. Dataset was replaced by this release.</t>
  </si>
  <si>
    <t>Contents</t>
  </si>
  <si>
    <t>This worksheet contains one table</t>
  </si>
  <si>
    <t>Worksheet title</t>
  </si>
  <si>
    <t>Worksheet description</t>
  </si>
  <si>
    <t>Footnotes for tables</t>
  </si>
  <si>
    <t>Information on country of birth groupings</t>
  </si>
  <si>
    <t>Live births by country of birth of mother, 2008 to 2025</t>
  </si>
  <si>
    <t>Live births for the ten most common countries of birth of mother for non-UK-born mothers, 2003 to 2025</t>
  </si>
  <si>
    <t>Live births by country of birth of mother and of father, 2025</t>
  </si>
  <si>
    <t>Live births by country of birth of mother and of father, 2008 to 2025</t>
  </si>
  <si>
    <t>Live births by age of mother and country of birth of mother, 2025</t>
  </si>
  <si>
    <t>Live births by country of birth of mother and area of usual residence, 2025</t>
  </si>
  <si>
    <t>Live births where one or both parents are born outside the UK and area of usual residence, 2025</t>
  </si>
  <si>
    <t>Total Fertility Rate by country of birth of mother, 2001, 2011 and 2021</t>
  </si>
  <si>
    <t>Country code listings</t>
  </si>
  <si>
    <t>Country grouping</t>
  </si>
  <si>
    <t>Countries included before 2007</t>
  </si>
  <si>
    <t>Countries included after 2007</t>
  </si>
  <si>
    <t>UK</t>
  </si>
  <si>
    <t>England, Northern Ireland, Scotland, Wales, England and Wales, Alderney, Sark (little and great), Guernsey, Jersey, Channel Islands not otherwise specified, Isle of Man, Herm, Jethou Island, Lihou, United Kingdom not otherwise specified</t>
  </si>
  <si>
    <t>England, Northern Ireland, Scotland, Wales, England and Wales, Guernsey, Jersey, Channel Islands not otherwise specified, Isle of Man, Great Britain not otherwise stated, United Kingdom not otherwise specified</t>
  </si>
  <si>
    <t>EU</t>
  </si>
  <si>
    <t>Austria, Belgium, Bulgaria, Canary Islands, Croatia, Cyprus, Czech Republic, Denmark, Estonia, Finland, France, Germany, Greece, Hungary, Ireland, Italy, Latvia, Lithuania, Luxembourg, Malta and Gozo, Netherlands, Poland, Portugal, Réunion, Romania, Slovakia, Slovenia, Spain, Sweden</t>
  </si>
  <si>
    <t>Aland Islands, Austria, Belgium, Bulgaria, Canary Islands, Croatia, Cyprus (EU), Czechia, Denmark, Estonia, Finland, France, Germany, Greece, Hungary, Ireland, Italy, Latvia, Lithuania, Luxembourg, Malta, Mayotte, Netherlands, Poland, Portugal, Réunion, Romania, Saint Martin (French Part), Slovakia, Slovenia, Spain (except Canary Islands), Sweden, Cyprus not otherwise stated, Spain not otherwise stated, Czechoslovakia not otherwise specified</t>
  </si>
  <si>
    <t>New EU</t>
  </si>
  <si>
    <t>Joined in 2004: Cyprus, Estonia, Latvia, Lithuania, Czech Republic, Hungary, Malta and Gozo, Poland, Slovakia, Slovenia
Joined in 2007: Bulgaria, Romania
Joined in 2013: Croatia</t>
  </si>
  <si>
    <t>Joined in 2004: Cyprus (EU), Estonia, Latvia, Lithuania, Czechia, Hungary, Malta, Poland, Slovakia, Slovenia, Cyprus not otherwise stated, Czechoslovakia not otherwise stated
Joined in 2007: Bulgaria, Romania
Joined in 2013: Croatia
Joined in 2014: Mayotte</t>
  </si>
  <si>
    <t>Rest of Europe</t>
  </si>
  <si>
    <t>Albania, Andorra, Armenia, Azerbaijan, Belarus, Bosnia and Herzegovina, Herzegovina, Georgia Republic, Gibraltar, Iceland, Kosovo, Liechtenstein, Macedonia, Moldova, Monaco, Montenegro, Norway, Russia, Commonwealth of (Russian) Independent States, San Marino, Serbia, Switzerland, Turkey, Ukraine, Vatican City, Europe not otherwise stated</t>
  </si>
  <si>
    <t>Albania, Andorra, Armenia, Azerbaijan, Belarus, Bosnia and Herzegovina, Cyprus (non-EU), Faroe Islands, Georgia, Gibraltar, Iceland, Kosovo, Liechtenstein, North Macedonia, Moldova, Monaco, Montenegro, Norway, Russia, San Marino, Serbia, Svalbard and Jan Mayen, Switzerland, Turkey, Ukraine, Vatican City, Europe not otherwise stated, Serbia and Montenegro not otherwise specified, Vatican City, Union of Soviet Socialist Republics not otherwise stated, Yugoslavia not otherwise stated</t>
  </si>
  <si>
    <t>Africa</t>
  </si>
  <si>
    <t>Central Africa, Eastern Africa, North Africa, Southern Africa, Western Africa, Africa not otherwise stated</t>
  </si>
  <si>
    <t>North Africa</t>
  </si>
  <si>
    <t>Algeria, Ceuta, Egypt, Libya, Melilla, Morocco, South Sudan, Sudan, Tunisia, Africa - North (not otherwise stated)</t>
  </si>
  <si>
    <t>Algeria, Egypt, Libya, Morocco, South Sudan, Sudan, Tunisia, Western Sahara</t>
  </si>
  <si>
    <t>Western Africa</t>
  </si>
  <si>
    <t>Ascension Island, Benin, Burkina Faso, Cape Verde, Inaccessible Island, Ivory Coast, The Gambia, Ghana, Gough Island, Guinea, Guinea-Bissau, Liberia, Mali, Mauritania, Middle Island, Niger, Nigeria, Nightingale Island, Senegal, Sierra Leone, St Helena Tristan da Cunha, Stoltenhoff Island, Togo</t>
  </si>
  <si>
    <t>Benin, Burkina, Cape Verde, Ivory Coast, The Gambia, Ghana, Guinea, Guinea-Bissau, Liberia, Mali, Mauritania, Niger, Nigeria, St Helena Ascension and Tristan da Cunha, Senegal, Sierra Leone, Togo</t>
  </si>
  <si>
    <t>Central Africa</t>
  </si>
  <si>
    <t>Angola, Cabinda, Cameroon, Central African Republic, Chad, Congo, Democratic Republic of Congo, Equatorial Guinea, Gabon, Sao Tome and Principe</t>
  </si>
  <si>
    <t>Eastern Africa</t>
  </si>
  <si>
    <t>Burundi, Comoros, Djibouti, Eritrea, Ethiopia, Kenya, Madagascar, Malawi, Mauritius, Mozambique, Rwanda, Seychelles, Somalia, Tanzania, Uganda, Zambia, Zimbabwe, Africa - East (not otherwise stated)</t>
  </si>
  <si>
    <t>Burundi, Comoros, Djibouti, Eritrea, Ethiopia, Kenya, Madagascar, Malawi, Mauritius, Mozambique, Rwanda, Seychelles, Somalia, Tanzania, Uganda, Zambia, Zimbabwe</t>
  </si>
  <si>
    <t>Southern Africa</t>
  </si>
  <si>
    <t>Botswana, Lesotho, Namibia, South Africa, Walvis Bay</t>
  </si>
  <si>
    <t>Botswana, Eswatini, Lesotho, Namibia, South Africa</t>
  </si>
  <si>
    <t>The Americas and the Caribbean</t>
  </si>
  <si>
    <t>Central America, North America, South America, The Caribbean</t>
  </si>
  <si>
    <t>North America</t>
  </si>
  <si>
    <t>Bermuda, Canada, Greenland, United States of America</t>
  </si>
  <si>
    <t>Bermuda, Canada, Greenland, United States of America, North America not otherwise stated</t>
  </si>
  <si>
    <t>Central America</t>
  </si>
  <si>
    <t>Belize, Costa Rica, El Salvador, Guatemala, Honduras, Mexico, Nicaragua, Panama, Panama Canal Zone</t>
  </si>
  <si>
    <t>Belize, Costa Rica, El Salvador, Guatemala, Honduras, Mexico, Nicaragua, Panama, Central America not otherwise stated</t>
  </si>
  <si>
    <t>South America</t>
  </si>
  <si>
    <t>Argentina, Bolivia, Brazil, Chile, Colombia, Ecuador, Falkland Islands, East Falkland, West Falkland, French Guiana, Guyana, Paraguay, Peru, Surinam, Uruguay, Venezuela, South America not otherwise stated</t>
  </si>
  <si>
    <t>Argentina, Bolivia, Brazil, Chile, Colombia, Ecuador, Falkland Islands, French Guiana, Guyana, Paraguay, Peru, Surinam, Uruguay, Venezuela, South America not otherwise stated</t>
  </si>
  <si>
    <t>The Caribbean</t>
  </si>
  <si>
    <t>Antigua and Barbuda, Anguilla, The Bahamas, Barbados, Bonaire, British Virgin Islands, Cayman Islands, Cuba, Curacao, Dominica, Dominican Republic, Grenada, Guadeloupe, Haiti, Jamaica, Martinique, Montserrat, Netherlands Antilles not otherwise stated, Puerto Rico, St Christopher (St Kitts) - Nevis, St Lucia, St Vincent and the Grenadines, Trinidad and Tobago, Turks and Caicos Islands, United States Virgin Islands, West Indies (not otherwise stated)</t>
  </si>
  <si>
    <t>Antigua and Barbuda, Anguilla, Aruba, The Bahamas, Barbados, Bonaire Sint Eustatius &amp; Saba, British Virgin Islands, Cayman Islands, Cuba, Curacao, Dominica, Dominican Republic, Grenada, Guadeloupe, Haiti, Jamaica, Martinique, Montserrat, Netherlands Antilles not otherwise stated, Puerto Rico, Sint Maarten (Dutch Part), St Barthelemy, St Kitts and Nevis, St Lucia, St Vincent and the Grenadines, Trinidad and Tobago, Turks and Caicos Islands, United States Virgin Islands, Caribbean not otherwise stated</t>
  </si>
  <si>
    <t>Middle East and Asia</t>
  </si>
  <si>
    <t>Central Asia, Eastern Asia, Middle East, Southern Asia, South East Asia, Asia (except Middle East) not otherwise specified</t>
  </si>
  <si>
    <t>Middle East</t>
  </si>
  <si>
    <t>Abu Dhabi, Aden, Ajman, Bahrain, Dubai, Fujairah,  Iran, Iraq, Israel, Jordan, Kuwait, Lebanon, Oman, Qatar, Ras al Khaimah, Saudi Arabia, Sharjah, Syrian Arab Republic, United Arab Emirates, Occupied Territories (Gaza &amp; West Bank), Palestine, Umm al Qaiwain, Yemen, Middle East not otherwise specified</t>
  </si>
  <si>
    <t>Bahrain, Iran, Iraq, Israel, Jordan, Kuwait, Lebanon, Oman, Qatar, Saudi Arabia, Syria, United Arab Emirates, Occupied Palestinian Territories, Yemen, Middle East not otherwise specified</t>
  </si>
  <si>
    <t>Central Asia</t>
  </si>
  <si>
    <t>Kazakhstan, Kyrgyzstan, Tajikistan, Turkmenistan, Uzbekistan</t>
  </si>
  <si>
    <t>Eastern Asia</t>
  </si>
  <si>
    <t>China, Japan, Macao, Mongolia, Democratic People's Republic of Korea, Republic of Korea, Taiwan</t>
  </si>
  <si>
    <t>China, Hong Kong (Special Administrative Region of China), Japan, Macao (Special Administrative Region of China), Mongolia, North Korea, South Korea, Taiwan</t>
  </si>
  <si>
    <t>Southern Asia</t>
  </si>
  <si>
    <t>Afghanistan, Bangladesh, Bhutan, India, Maldives, Nepal, Pakistan, Sri Lanka</t>
  </si>
  <si>
    <t>South East Asia</t>
  </si>
  <si>
    <t>Brunei, Myanmar, Cambodia,  Indonesia, Java, Laos, Malaysia, Philippines, Singapore, Thailand, Vietnam</t>
  </si>
  <si>
    <t>Brunei, Burma, Cambodia, East Timor, Indonesia, Laos, Malaysia, Philippines, Singapore, Thailand, Vietnam</t>
  </si>
  <si>
    <t>Antarctica and Oceania</t>
  </si>
  <si>
    <t>Australasia, Other Oceania</t>
  </si>
  <si>
    <t>Antarctica, Australasia, Other Oceania</t>
  </si>
  <si>
    <t>Antarctica</t>
  </si>
  <si>
    <t>N/A</t>
  </si>
  <si>
    <t>Bouvet Island, French Southern Territories, South Georgia and the South Sandwich Islands</t>
  </si>
  <si>
    <t>Australasia</t>
  </si>
  <si>
    <t>Australia, Christmas Island, Cocos (Keeling) Islands, New Zealand, Norfolk Island</t>
  </si>
  <si>
    <t>Other Oceania</t>
  </si>
  <si>
    <t>East Samoa (American), Argentina Antarctic Territory, Australian Antarctic Territory, British Antarctic Territory, British Indian Territory, Caroline Islands, Chilean Antarctic, Cook Islands, Fiji, French Polynesia, Polynesia, Guam, Johnston Atoll/Island, Kingman Reef, Kiribati, Loyalty Islands, Marshall Islands, Federated States of Micronesia, Nauru, New Caledonia, Niue, Palau, Norwegian Antarctic Territory, Palmyra Islands, Palau, Papua New Guinea, Peter Island, Pitcairn Islands Group, Queen Maud Land, Ross Dependency, Western Samoa, Solomon Islands, Tokelau Islands, Tonga, Tuvalu, US Pacific Islands, Vanuatu, Wallis and Futuna, Wake Island</t>
  </si>
  <si>
    <t>American Samoa, British Indian Territory, Cook Islands, Ducie and Oeno Islands, Fiji, French Polynesia, Guam, Heard Islands and McDonald Islands, Henderson, Kiribati, Marshall Islands, Micronesia, Nauru, New Caledonia, Niue, Northern Mariana Islands, Palau, Papua New Guinea, Pitcairn, Samoa, Solomon Islands, Tokelau, Tonga, Tuvalu, United States Minor Outlying Islands, Vanuatu, Wallis and Futuna</t>
  </si>
  <si>
    <t>Notes</t>
  </si>
  <si>
    <t>Note number</t>
  </si>
  <si>
    <t>Note text</t>
  </si>
  <si>
    <t>Related links</t>
  </si>
  <si>
    <t>note 1</t>
  </si>
  <si>
    <t>More information on the countries included in each country group can be found on the country code listings sheet in this workbook.</t>
  </si>
  <si>
    <t>note 2</t>
  </si>
  <si>
    <t>Figures by country include births to mothers whose usual residence is outside England and Wales. The total outside the UK excludes those births where the mother's country of birth was not stated.</t>
  </si>
  <si>
    <t/>
  </si>
  <si>
    <t>note 3</t>
  </si>
  <si>
    <t>Births registered to a same-sex couple are included in the figures, with the country of birth of the second parent being included with the fathers. Same-sex female couples have been able to register the birth of a child as mother and second parent since 1 September 2009. More detail is available on the coversheet.</t>
  </si>
  <si>
    <t>note 4</t>
  </si>
  <si>
    <t>Father's details are not recorded in sole-registered births outside marriage, and details of country of birth may not be stated at birth registration.</t>
  </si>
  <si>
    <t>note 5</t>
  </si>
  <si>
    <t>Percentages may not sum due to rounding.</t>
  </si>
  <si>
    <t>note 6</t>
  </si>
  <si>
    <t>Figures for England and Wales are based on geography boundaries as of FEB 2026. Administrative boundaries change so areas listed in previous or other publications may not match the areas listed here. Administrative lookups are available on the Open Geography Portal.</t>
  </si>
  <si>
    <t>Open Geography Portal</t>
  </si>
  <si>
    <t>note 7</t>
  </si>
  <si>
    <t>Live births to UK-born mothers and non-UK-born mothers do not sum to total live births because a small number of records do not have mother's country of birth stated. In 2025, there were 52 records where the mother's country of birth was not stated.</t>
  </si>
  <si>
    <t>note 8</t>
  </si>
  <si>
    <t>A birth to a mother whose usual residence is outside England and Wales is included in total figures for England, Wales and elsewhere, but excluded from any sub-division of England and Wales.</t>
  </si>
  <si>
    <t>note 9</t>
  </si>
  <si>
    <t>Due to the low number of births, counts for Isles of Scilly have been combined with those for Cornwall.</t>
  </si>
  <si>
    <t>note 10</t>
  </si>
  <si>
    <t xml:space="preserve">The number of live births to one non-UK-born parent includes sole registered live births (births registered by the mother alone, where information on the father was not recorded) where the mother was not born in the UK. Some births sole registered by UK-born mothers may have non-UK-born fathers but it is not possible to quantify these as no information is available on the father. </t>
  </si>
  <si>
    <t>note 11</t>
  </si>
  <si>
    <t>From 2023 data year, births to parents who are born "In the air" or "At sea" are consistently counted with "Total outside United Kingdom" so the totals for the sub-groups may not sum.</t>
  </si>
  <si>
    <t>note 12</t>
  </si>
  <si>
    <t>The back series of table 1 has been refreshed but tables 2a, 2b and 4 have not been refreshed.</t>
  </si>
  <si>
    <t>note 13</t>
  </si>
  <si>
    <t>The Total Fertility Rate (TFR) is the average number of live children that a group of women would bear if they experienced the age-specific fertility rates (ASFR) of the calendar year in question throughout their childbearing lifespan. This table includes women between the ages of 15 and 49. Previous years have included women between the ages of 15 to 44, due to the difference in ages included these TFRs cannot be compared.</t>
  </si>
  <si>
    <t>note 14</t>
  </si>
  <si>
    <t>From 2007, National Statistics Country Classification coding (NSCC) was used to classify parent's country of birth. There are some differences in the country classifications prior to 2007 which can be found on the country code listings sheet in this workbook.</t>
  </si>
  <si>
    <t>note 15</t>
  </si>
  <si>
    <t>This table uses Census populations to calculate Total Fertility Rate (TFR) and so is only calculated for Census years: 2001, 2011 and 2021.</t>
  </si>
  <si>
    <t>Table 1: Live births by country of birth of mother, 2008 to 2025</t>
  </si>
  <si>
    <t>[note 1][note 2][note 7][note 11][note 12]</t>
  </si>
  <si>
    <t>Some cells refer to notes which can be found on the notes worksheet</t>
  </si>
  <si>
    <t>Source: Office for National Statistics</t>
  </si>
  <si>
    <t>Country of birth of mother</t>
  </si>
  <si>
    <t>2025</t>
  </si>
  <si>
    <t>2024</t>
  </si>
  <si>
    <t>2023</t>
  </si>
  <si>
    <t>2022</t>
  </si>
  <si>
    <t>2021</t>
  </si>
  <si>
    <t>2020</t>
  </si>
  <si>
    <t>2019</t>
  </si>
  <si>
    <t>2018</t>
  </si>
  <si>
    <t>2017</t>
  </si>
  <si>
    <t>2016</t>
  </si>
  <si>
    <t>2015</t>
  </si>
  <si>
    <t>2014</t>
  </si>
  <si>
    <t>2013</t>
  </si>
  <si>
    <t>2012</t>
  </si>
  <si>
    <t>2011</t>
  </si>
  <si>
    <t>2010</t>
  </si>
  <si>
    <t>2009</t>
  </si>
  <si>
    <t>2008</t>
  </si>
  <si>
    <t>Total</t>
  </si>
  <si>
    <t>Total outside United Kingdom</t>
  </si>
  <si>
    <t>Poland</t>
  </si>
  <si>
    <t>Romania</t>
  </si>
  <si>
    <t>India</t>
  </si>
  <si>
    <t>Pakistan</t>
  </si>
  <si>
    <t>Bangladesh</t>
  </si>
  <si>
    <t>Not Stated</t>
  </si>
  <si>
    <t>Table 2a: Live births for the ten most common countries of birth of mother for non-UK-born mothers in England and Wales, 2003 to 2025</t>
  </si>
  <si>
    <t>[note 1][note 2][note 11][note 12]</t>
  </si>
  <si>
    <r>
      <t xml:space="preserve">2025 </t>
    </r>
    <r>
      <rPr>
        <sz val="12"/>
        <color rgb="FF000000"/>
        <rFont val="Arial"/>
        <family val="2"/>
      </rPr>
      <t>Rank</t>
    </r>
  </si>
  <si>
    <r>
      <t xml:space="preserve">2025 </t>
    </r>
    <r>
      <rPr>
        <sz val="12"/>
        <color rgb="FF000000"/>
        <rFont val="Arial"/>
        <family val="2"/>
      </rPr>
      <t>Number</t>
    </r>
  </si>
  <si>
    <r>
      <t>2025</t>
    </r>
    <r>
      <rPr>
        <sz val="12"/>
        <color rgb="FF000000"/>
        <rFont val="Arial"/>
        <family val="2"/>
      </rPr>
      <t xml:space="preserve"> Percentage of all live births</t>
    </r>
  </si>
  <si>
    <r>
      <t xml:space="preserve">2024 
</t>
    </r>
    <r>
      <rPr>
        <sz val="12"/>
        <color rgb="FF000000"/>
        <rFont val="Arial"/>
        <family val="2"/>
      </rPr>
      <t>Rank</t>
    </r>
  </si>
  <si>
    <r>
      <t xml:space="preserve">2024 
</t>
    </r>
    <r>
      <rPr>
        <sz val="12"/>
        <color rgb="FF000000"/>
        <rFont val="Arial"/>
        <family val="2"/>
      </rPr>
      <t>Number</t>
    </r>
  </si>
  <si>
    <r>
      <t xml:space="preserve">2024 
</t>
    </r>
    <r>
      <rPr>
        <sz val="12"/>
        <color rgb="FF000000"/>
        <rFont val="Arial"/>
        <family val="2"/>
      </rPr>
      <t>Percentage of all live births</t>
    </r>
  </si>
  <si>
    <r>
      <t xml:space="preserve">2023 </t>
    </r>
    <r>
      <rPr>
        <sz val="12"/>
        <color rgb="FF000000"/>
        <rFont val="Arial"/>
        <family val="2"/>
      </rPr>
      <t>Rank</t>
    </r>
  </si>
  <si>
    <r>
      <t xml:space="preserve">2023 </t>
    </r>
    <r>
      <rPr>
        <sz val="12"/>
        <color rgb="FF000000"/>
        <rFont val="Arial"/>
        <family val="2"/>
      </rPr>
      <t>Number</t>
    </r>
  </si>
  <si>
    <r>
      <t xml:space="preserve">2023 </t>
    </r>
    <r>
      <rPr>
        <sz val="12"/>
        <color rgb="FF000000"/>
        <rFont val="Arial"/>
        <family val="2"/>
      </rPr>
      <t>Percentage of all live births</t>
    </r>
  </si>
  <si>
    <r>
      <t xml:space="preserve">2022 </t>
    </r>
    <r>
      <rPr>
        <sz val="12"/>
        <color rgb="FF000000"/>
        <rFont val="Arial"/>
        <family val="2"/>
      </rPr>
      <t>Rank</t>
    </r>
  </si>
  <si>
    <r>
      <t xml:space="preserve">2022 </t>
    </r>
    <r>
      <rPr>
        <sz val="12"/>
        <color rgb="FF000000"/>
        <rFont val="Arial"/>
        <family val="2"/>
      </rPr>
      <t>Number</t>
    </r>
  </si>
  <si>
    <r>
      <t xml:space="preserve">2022 </t>
    </r>
    <r>
      <rPr>
        <sz val="12"/>
        <color rgb="FF000000"/>
        <rFont val="Arial"/>
        <family val="2"/>
      </rPr>
      <t>Percentage of all live births</t>
    </r>
  </si>
  <si>
    <r>
      <t xml:space="preserve">2021 </t>
    </r>
    <r>
      <rPr>
        <sz val="12"/>
        <color rgb="FF000000"/>
        <rFont val="Arial"/>
        <family val="2"/>
      </rPr>
      <t>Rank</t>
    </r>
  </si>
  <si>
    <r>
      <t xml:space="preserve">2021 </t>
    </r>
    <r>
      <rPr>
        <sz val="12"/>
        <color rgb="FF000000"/>
        <rFont val="Arial"/>
        <family val="2"/>
      </rPr>
      <t>Number</t>
    </r>
  </si>
  <si>
    <r>
      <t xml:space="preserve">2021 </t>
    </r>
    <r>
      <rPr>
        <sz val="12"/>
        <color rgb="FF000000"/>
        <rFont val="Arial"/>
        <family val="2"/>
      </rPr>
      <t>Percentage of all live births</t>
    </r>
  </si>
  <si>
    <r>
      <t xml:space="preserve">2020 </t>
    </r>
    <r>
      <rPr>
        <sz val="12"/>
        <color rgb="FF000000"/>
        <rFont val="Arial"/>
        <family val="2"/>
      </rPr>
      <t>Rank</t>
    </r>
  </si>
  <si>
    <r>
      <t xml:space="preserve">2020 </t>
    </r>
    <r>
      <rPr>
        <sz val="12"/>
        <color rgb="FF000000"/>
        <rFont val="Arial"/>
        <family val="2"/>
      </rPr>
      <t>Number</t>
    </r>
  </si>
  <si>
    <r>
      <t xml:space="preserve">2020 </t>
    </r>
    <r>
      <rPr>
        <sz val="12"/>
        <color rgb="FF000000"/>
        <rFont val="Arial"/>
        <family val="2"/>
      </rPr>
      <t>Percentage of all live births</t>
    </r>
  </si>
  <si>
    <r>
      <t xml:space="preserve">2019 </t>
    </r>
    <r>
      <rPr>
        <sz val="12"/>
        <color rgb="FF000000"/>
        <rFont val="Arial"/>
        <family val="2"/>
      </rPr>
      <t>Rank</t>
    </r>
  </si>
  <si>
    <r>
      <t xml:space="preserve">2019 </t>
    </r>
    <r>
      <rPr>
        <sz val="12"/>
        <color rgb="FF000000"/>
        <rFont val="Arial"/>
        <family val="2"/>
      </rPr>
      <t>Number</t>
    </r>
  </si>
  <si>
    <r>
      <t xml:space="preserve">2019 </t>
    </r>
    <r>
      <rPr>
        <sz val="12"/>
        <color rgb="FF000000"/>
        <rFont val="Arial"/>
        <family val="2"/>
      </rPr>
      <t>Percentage of all live births</t>
    </r>
  </si>
  <si>
    <r>
      <rPr>
        <b/>
        <sz val="12"/>
        <color rgb="FF000000"/>
        <rFont val="Arial"/>
        <family val="2"/>
      </rPr>
      <t>2018</t>
    </r>
    <r>
      <rPr>
        <sz val="12"/>
        <color rgb="FF000000"/>
        <rFont val="Arial"/>
        <family val="2"/>
      </rPr>
      <t xml:space="preserve"> Rank</t>
    </r>
  </si>
  <si>
    <r>
      <rPr>
        <b/>
        <sz val="12"/>
        <color rgb="FF000000"/>
        <rFont val="Arial"/>
        <family val="2"/>
      </rPr>
      <t>2018</t>
    </r>
    <r>
      <rPr>
        <sz val="12"/>
        <color rgb="FF000000"/>
        <rFont val="Arial"/>
        <family val="2"/>
      </rPr>
      <t xml:space="preserve"> Number</t>
    </r>
  </si>
  <si>
    <r>
      <rPr>
        <b/>
        <sz val="12"/>
        <color rgb="FF000000"/>
        <rFont val="Arial"/>
        <family val="2"/>
      </rPr>
      <t>2018</t>
    </r>
    <r>
      <rPr>
        <sz val="12"/>
        <color rgb="FF000000"/>
        <rFont val="Arial"/>
        <family val="2"/>
      </rPr>
      <t xml:space="preserve"> Percentage of all live births</t>
    </r>
  </si>
  <si>
    <r>
      <rPr>
        <b/>
        <sz val="12"/>
        <color rgb="FF000000"/>
        <rFont val="Arial"/>
        <family val="2"/>
      </rPr>
      <t>2017</t>
    </r>
    <r>
      <rPr>
        <sz val="12"/>
        <color rgb="FF000000"/>
        <rFont val="Arial"/>
        <family val="2"/>
      </rPr>
      <t xml:space="preserve"> Rank</t>
    </r>
  </si>
  <si>
    <r>
      <rPr>
        <b/>
        <sz val="12"/>
        <color rgb="FF000000"/>
        <rFont val="Arial"/>
        <family val="2"/>
      </rPr>
      <t>2017</t>
    </r>
    <r>
      <rPr>
        <sz val="12"/>
        <color rgb="FF000000"/>
        <rFont val="Arial"/>
        <family val="2"/>
      </rPr>
      <t xml:space="preserve"> Number</t>
    </r>
  </si>
  <si>
    <r>
      <rPr>
        <b/>
        <sz val="12"/>
        <color rgb="FF000000"/>
        <rFont val="Arial"/>
        <family val="2"/>
      </rPr>
      <t>2017</t>
    </r>
    <r>
      <rPr>
        <sz val="12"/>
        <color rgb="FF000000"/>
        <rFont val="Arial"/>
        <family val="2"/>
      </rPr>
      <t xml:space="preserve"> Percentage of all live births</t>
    </r>
  </si>
  <si>
    <r>
      <rPr>
        <b/>
        <sz val="12"/>
        <color rgb="FF000000"/>
        <rFont val="Arial"/>
        <family val="2"/>
      </rPr>
      <t>2016</t>
    </r>
    <r>
      <rPr>
        <sz val="12"/>
        <color rgb="FF000000"/>
        <rFont val="Arial"/>
        <family val="2"/>
      </rPr>
      <t xml:space="preserve"> Rank</t>
    </r>
  </si>
  <si>
    <r>
      <rPr>
        <b/>
        <sz val="12"/>
        <color rgb="FF000000"/>
        <rFont val="Arial"/>
        <family val="2"/>
      </rPr>
      <t>2016</t>
    </r>
    <r>
      <rPr>
        <sz val="12"/>
        <color rgb="FF000000"/>
        <rFont val="Arial"/>
        <family val="2"/>
      </rPr>
      <t xml:space="preserve"> Number</t>
    </r>
  </si>
  <si>
    <r>
      <rPr>
        <b/>
        <sz val="12"/>
        <color rgb="FF000000"/>
        <rFont val="Arial"/>
        <family val="2"/>
      </rPr>
      <t>2016</t>
    </r>
    <r>
      <rPr>
        <sz val="12"/>
        <color rgb="FF000000"/>
        <rFont val="Arial"/>
        <family val="2"/>
      </rPr>
      <t xml:space="preserve"> Percentage of all live births</t>
    </r>
  </si>
  <si>
    <r>
      <rPr>
        <b/>
        <sz val="12"/>
        <color rgb="FF000000"/>
        <rFont val="Arial"/>
        <family val="2"/>
      </rPr>
      <t>2015</t>
    </r>
    <r>
      <rPr>
        <sz val="12"/>
        <color rgb="FF000000"/>
        <rFont val="Arial"/>
        <family val="2"/>
      </rPr>
      <t xml:space="preserve"> Rank</t>
    </r>
  </si>
  <si>
    <r>
      <rPr>
        <b/>
        <sz val="12"/>
        <color rgb="FF000000"/>
        <rFont val="Arial"/>
        <family val="2"/>
      </rPr>
      <t>2015</t>
    </r>
    <r>
      <rPr>
        <sz val="12"/>
        <color rgb="FF000000"/>
        <rFont val="Arial"/>
        <family val="2"/>
      </rPr>
      <t xml:space="preserve"> Number</t>
    </r>
  </si>
  <si>
    <r>
      <rPr>
        <b/>
        <sz val="12"/>
        <color rgb="FF000000"/>
        <rFont val="Arial"/>
        <family val="2"/>
      </rPr>
      <t>2015</t>
    </r>
    <r>
      <rPr>
        <sz val="12"/>
        <color rgb="FF000000"/>
        <rFont val="Arial"/>
        <family val="2"/>
      </rPr>
      <t xml:space="preserve"> Percentage of all live births</t>
    </r>
  </si>
  <si>
    <r>
      <rPr>
        <b/>
        <sz val="12"/>
        <color rgb="FF000000"/>
        <rFont val="Arial"/>
        <family val="2"/>
      </rPr>
      <t>2014</t>
    </r>
    <r>
      <rPr>
        <sz val="12"/>
        <color rgb="FF000000"/>
        <rFont val="Arial"/>
        <family val="2"/>
      </rPr>
      <t xml:space="preserve"> Rank</t>
    </r>
  </si>
  <si>
    <r>
      <rPr>
        <b/>
        <sz val="12"/>
        <color rgb="FF000000"/>
        <rFont val="Arial"/>
        <family val="2"/>
      </rPr>
      <t>2014</t>
    </r>
    <r>
      <rPr>
        <sz val="12"/>
        <color rgb="FF000000"/>
        <rFont val="Arial"/>
        <family val="2"/>
      </rPr>
      <t xml:space="preserve"> Number</t>
    </r>
  </si>
  <si>
    <r>
      <rPr>
        <b/>
        <sz val="12"/>
        <color rgb="FF000000"/>
        <rFont val="Arial"/>
        <family val="2"/>
      </rPr>
      <t>2014</t>
    </r>
    <r>
      <rPr>
        <sz val="12"/>
        <color rgb="FF000000"/>
        <rFont val="Arial"/>
        <family val="2"/>
      </rPr>
      <t xml:space="preserve"> Percentage of all live births</t>
    </r>
  </si>
  <si>
    <r>
      <rPr>
        <b/>
        <sz val="12"/>
        <color rgb="FF000000"/>
        <rFont val="Arial"/>
        <family val="2"/>
      </rPr>
      <t>2013</t>
    </r>
    <r>
      <rPr>
        <sz val="12"/>
        <color rgb="FF000000"/>
        <rFont val="Arial"/>
        <family val="2"/>
      </rPr>
      <t xml:space="preserve"> Rank</t>
    </r>
  </si>
  <si>
    <r>
      <rPr>
        <b/>
        <sz val="12"/>
        <color rgb="FF000000"/>
        <rFont val="Arial"/>
        <family val="2"/>
      </rPr>
      <t>2013</t>
    </r>
    <r>
      <rPr>
        <sz val="12"/>
        <color rgb="FF000000"/>
        <rFont val="Arial"/>
        <family val="2"/>
      </rPr>
      <t xml:space="preserve"> Number</t>
    </r>
  </si>
  <si>
    <r>
      <rPr>
        <b/>
        <sz val="12"/>
        <color rgb="FF000000"/>
        <rFont val="Arial"/>
        <family val="2"/>
      </rPr>
      <t>2013</t>
    </r>
    <r>
      <rPr>
        <sz val="12"/>
        <color rgb="FF000000"/>
        <rFont val="Arial"/>
        <family val="2"/>
      </rPr>
      <t xml:space="preserve"> Percentage of all live births</t>
    </r>
  </si>
  <si>
    <r>
      <rPr>
        <b/>
        <sz val="12"/>
        <color rgb="FF000000"/>
        <rFont val="Arial"/>
        <family val="2"/>
      </rPr>
      <t>2012</t>
    </r>
    <r>
      <rPr>
        <sz val="12"/>
        <color rgb="FF000000"/>
        <rFont val="Arial"/>
        <family val="2"/>
      </rPr>
      <t xml:space="preserve"> Rank</t>
    </r>
  </si>
  <si>
    <r>
      <rPr>
        <b/>
        <sz val="12"/>
        <color rgb="FF000000"/>
        <rFont val="Arial"/>
        <family val="2"/>
      </rPr>
      <t>2012</t>
    </r>
    <r>
      <rPr>
        <sz val="12"/>
        <color rgb="FF000000"/>
        <rFont val="Arial"/>
        <family val="2"/>
      </rPr>
      <t xml:space="preserve"> Number</t>
    </r>
  </si>
  <si>
    <r>
      <rPr>
        <b/>
        <sz val="12"/>
        <color rgb="FF000000"/>
        <rFont val="Arial"/>
        <family val="2"/>
      </rPr>
      <t>2012</t>
    </r>
    <r>
      <rPr>
        <sz val="12"/>
        <color rgb="FF000000"/>
        <rFont val="Arial"/>
        <family val="2"/>
      </rPr>
      <t xml:space="preserve"> Percentage of all live births</t>
    </r>
  </si>
  <si>
    <r>
      <rPr>
        <b/>
        <sz val="12"/>
        <color rgb="FF000000"/>
        <rFont val="Arial"/>
        <family val="2"/>
      </rPr>
      <t>2011</t>
    </r>
    <r>
      <rPr>
        <sz val="12"/>
        <color rgb="FF000000"/>
        <rFont val="Arial"/>
        <family val="2"/>
      </rPr>
      <t xml:space="preserve"> Rank</t>
    </r>
  </si>
  <si>
    <r>
      <rPr>
        <b/>
        <sz val="12"/>
        <color rgb="FF000000"/>
        <rFont val="Arial"/>
        <family val="2"/>
      </rPr>
      <t>2011</t>
    </r>
    <r>
      <rPr>
        <sz val="12"/>
        <color rgb="FF000000"/>
        <rFont val="Arial"/>
        <family val="2"/>
      </rPr>
      <t xml:space="preserve"> Number</t>
    </r>
  </si>
  <si>
    <r>
      <rPr>
        <b/>
        <sz val="12"/>
        <color rgb="FF000000"/>
        <rFont val="Arial"/>
        <family val="2"/>
      </rPr>
      <t>2011</t>
    </r>
    <r>
      <rPr>
        <sz val="12"/>
        <color rgb="FF000000"/>
        <rFont val="Arial"/>
        <family val="2"/>
      </rPr>
      <t xml:space="preserve"> Percentage of all live births</t>
    </r>
  </si>
  <si>
    <r>
      <rPr>
        <b/>
        <sz val="12"/>
        <color rgb="FF000000"/>
        <rFont val="Arial"/>
        <family val="2"/>
      </rPr>
      <t>2010</t>
    </r>
    <r>
      <rPr>
        <sz val="12"/>
        <color rgb="FF000000"/>
        <rFont val="Arial"/>
        <family val="2"/>
      </rPr>
      <t xml:space="preserve"> Rank</t>
    </r>
  </si>
  <si>
    <r>
      <rPr>
        <b/>
        <sz val="12"/>
        <color rgb="FF000000"/>
        <rFont val="Arial"/>
        <family val="2"/>
      </rPr>
      <t>2010</t>
    </r>
    <r>
      <rPr>
        <sz val="12"/>
        <color rgb="FF000000"/>
        <rFont val="Arial"/>
        <family val="2"/>
      </rPr>
      <t xml:space="preserve"> Number</t>
    </r>
  </si>
  <si>
    <r>
      <rPr>
        <b/>
        <sz val="12"/>
        <color rgb="FF000000"/>
        <rFont val="Arial"/>
        <family val="2"/>
      </rPr>
      <t>2010</t>
    </r>
    <r>
      <rPr>
        <sz val="12"/>
        <color rgb="FF000000"/>
        <rFont val="Arial"/>
        <family val="2"/>
      </rPr>
      <t xml:space="preserve"> Percentage of all live births</t>
    </r>
  </si>
  <si>
    <r>
      <rPr>
        <b/>
        <sz val="12"/>
        <color rgb="FF000000"/>
        <rFont val="Arial"/>
        <family val="2"/>
      </rPr>
      <t>2009</t>
    </r>
    <r>
      <rPr>
        <sz val="12"/>
        <color rgb="FF000000"/>
        <rFont val="Arial"/>
        <family val="2"/>
      </rPr>
      <t xml:space="preserve"> Rank</t>
    </r>
  </si>
  <si>
    <r>
      <rPr>
        <b/>
        <sz val="12"/>
        <color rgb="FF000000"/>
        <rFont val="Arial"/>
        <family val="2"/>
      </rPr>
      <t>2009</t>
    </r>
    <r>
      <rPr>
        <sz val="12"/>
        <color rgb="FF000000"/>
        <rFont val="Arial"/>
        <family val="2"/>
      </rPr>
      <t xml:space="preserve"> Number</t>
    </r>
  </si>
  <si>
    <r>
      <rPr>
        <b/>
        <sz val="12"/>
        <color rgb="FF000000"/>
        <rFont val="Arial"/>
        <family val="2"/>
      </rPr>
      <t>2009</t>
    </r>
    <r>
      <rPr>
        <sz val="12"/>
        <color rgb="FF000000"/>
        <rFont val="Arial"/>
        <family val="2"/>
      </rPr>
      <t xml:space="preserve"> Percentage of all live births</t>
    </r>
  </si>
  <si>
    <r>
      <rPr>
        <b/>
        <sz val="12"/>
        <color rgb="FF000000"/>
        <rFont val="Arial"/>
        <family val="2"/>
      </rPr>
      <t>2008</t>
    </r>
    <r>
      <rPr>
        <sz val="12"/>
        <color rgb="FF000000"/>
        <rFont val="Arial"/>
        <family val="2"/>
      </rPr>
      <t xml:space="preserve"> Rank</t>
    </r>
  </si>
  <si>
    <r>
      <rPr>
        <b/>
        <sz val="12"/>
        <color rgb="FF000000"/>
        <rFont val="Arial"/>
        <family val="2"/>
      </rPr>
      <t>2008</t>
    </r>
    <r>
      <rPr>
        <sz val="12"/>
        <color rgb="FF000000"/>
        <rFont val="Arial"/>
        <family val="2"/>
      </rPr>
      <t xml:space="preserve"> Number</t>
    </r>
  </si>
  <si>
    <r>
      <rPr>
        <b/>
        <sz val="12"/>
        <color rgb="FF000000"/>
        <rFont val="Arial"/>
        <family val="2"/>
      </rPr>
      <t>2008</t>
    </r>
    <r>
      <rPr>
        <sz val="12"/>
        <color rgb="FF000000"/>
        <rFont val="Arial"/>
        <family val="2"/>
      </rPr>
      <t xml:space="preserve"> Percentage of all live births</t>
    </r>
  </si>
  <si>
    <r>
      <rPr>
        <b/>
        <sz val="12"/>
        <color rgb="FF000000"/>
        <rFont val="Arial"/>
        <family val="2"/>
      </rPr>
      <t>2007</t>
    </r>
    <r>
      <rPr>
        <sz val="12"/>
        <color rgb="FF000000"/>
        <rFont val="Arial"/>
        <family val="2"/>
      </rPr>
      <t xml:space="preserve">
Rank</t>
    </r>
  </si>
  <si>
    <r>
      <rPr>
        <b/>
        <sz val="12"/>
        <color rgb="FF000000"/>
        <rFont val="Arial"/>
        <family val="2"/>
      </rPr>
      <t>2007</t>
    </r>
    <r>
      <rPr>
        <sz val="12"/>
        <color rgb="FF000000"/>
        <rFont val="Arial"/>
        <family val="2"/>
      </rPr>
      <t xml:space="preserve">
Number</t>
    </r>
  </si>
  <si>
    <r>
      <rPr>
        <b/>
        <sz val="12"/>
        <color rgb="FF000000"/>
        <rFont val="Arial"/>
        <family val="2"/>
      </rPr>
      <t xml:space="preserve">2007
</t>
    </r>
    <r>
      <rPr>
        <sz val="12"/>
        <color rgb="FF000000"/>
        <rFont val="Arial"/>
        <family val="2"/>
      </rPr>
      <t xml:space="preserve"> Percentage of all live births</t>
    </r>
  </si>
  <si>
    <r>
      <rPr>
        <b/>
        <sz val="12"/>
        <color rgb="FF000000"/>
        <rFont val="Arial"/>
        <family val="2"/>
      </rPr>
      <t>2006</t>
    </r>
    <r>
      <rPr>
        <sz val="12"/>
        <color rgb="FF000000"/>
        <rFont val="Arial"/>
        <family val="2"/>
      </rPr>
      <t xml:space="preserve">
Rank</t>
    </r>
  </si>
  <si>
    <r>
      <rPr>
        <b/>
        <sz val="12"/>
        <color rgb="FF000000"/>
        <rFont val="Arial"/>
        <family val="2"/>
      </rPr>
      <t xml:space="preserve">2006
</t>
    </r>
    <r>
      <rPr>
        <sz val="12"/>
        <color rgb="FF000000"/>
        <rFont val="Arial"/>
        <family val="2"/>
      </rPr>
      <t>Number</t>
    </r>
  </si>
  <si>
    <r>
      <rPr>
        <b/>
        <sz val="12"/>
        <color rgb="FF000000"/>
        <rFont val="Arial"/>
        <family val="2"/>
      </rPr>
      <t>2006</t>
    </r>
    <r>
      <rPr>
        <sz val="12"/>
        <color rgb="FF000000"/>
        <rFont val="Arial"/>
        <family val="2"/>
      </rPr>
      <t xml:space="preserve">
Percentage of all live births</t>
    </r>
  </si>
  <si>
    <r>
      <t>2005</t>
    </r>
    <r>
      <rPr>
        <sz val="12"/>
        <color rgb="FF000000"/>
        <rFont val="Arial"/>
        <family val="2"/>
      </rPr>
      <t xml:space="preserve">
Rank</t>
    </r>
  </si>
  <si>
    <r>
      <rPr>
        <b/>
        <sz val="12"/>
        <color rgb="FF000000"/>
        <rFont val="Arial"/>
        <family val="2"/>
      </rPr>
      <t>2005</t>
    </r>
    <r>
      <rPr>
        <sz val="12"/>
        <color rgb="FF000000"/>
        <rFont val="Arial"/>
        <family val="2"/>
      </rPr>
      <t xml:space="preserve">
Number</t>
    </r>
  </si>
  <si>
    <r>
      <rPr>
        <b/>
        <sz val="12"/>
        <color rgb="FF000000"/>
        <rFont val="Arial"/>
        <family val="2"/>
      </rPr>
      <t>2005</t>
    </r>
    <r>
      <rPr>
        <sz val="12"/>
        <color rgb="FF000000"/>
        <rFont val="Arial"/>
        <family val="2"/>
      </rPr>
      <t xml:space="preserve"> 
Percentage of all live births</t>
    </r>
  </si>
  <si>
    <r>
      <rPr>
        <b/>
        <sz val="12"/>
        <color rgb="FF000000"/>
        <rFont val="Arial"/>
        <family val="2"/>
      </rPr>
      <t>2004</t>
    </r>
    <r>
      <rPr>
        <sz val="12"/>
        <color rgb="FF000000"/>
        <rFont val="Arial"/>
        <family val="2"/>
      </rPr>
      <t xml:space="preserve">
rank</t>
    </r>
  </si>
  <si>
    <r>
      <rPr>
        <b/>
        <sz val="12"/>
        <color rgb="FF000000"/>
        <rFont val="Arial"/>
        <family val="2"/>
      </rPr>
      <t>2004</t>
    </r>
    <r>
      <rPr>
        <sz val="12"/>
        <color rgb="FF000000"/>
        <rFont val="Arial"/>
        <family val="2"/>
      </rPr>
      <t xml:space="preserve">
Number</t>
    </r>
  </si>
  <si>
    <r>
      <rPr>
        <b/>
        <sz val="12"/>
        <color rgb="FF000000"/>
        <rFont val="Arial"/>
        <family val="2"/>
      </rPr>
      <t>2004</t>
    </r>
    <r>
      <rPr>
        <sz val="12"/>
        <color rgb="FF000000"/>
        <rFont val="Arial"/>
        <family val="2"/>
      </rPr>
      <t xml:space="preserve">
Percentage of all live births</t>
    </r>
  </si>
  <si>
    <r>
      <rPr>
        <b/>
        <sz val="12"/>
        <color rgb="FF000000"/>
        <rFont val="Arial"/>
        <family val="2"/>
      </rPr>
      <t>2003</t>
    </r>
    <r>
      <rPr>
        <sz val="12"/>
        <color rgb="FF000000"/>
        <rFont val="Arial"/>
        <family val="2"/>
      </rPr>
      <t xml:space="preserve">
Rank</t>
    </r>
  </si>
  <si>
    <r>
      <rPr>
        <b/>
        <sz val="12"/>
        <color rgb="FF000000"/>
        <rFont val="Arial"/>
        <family val="2"/>
      </rPr>
      <t>2003</t>
    </r>
    <r>
      <rPr>
        <sz val="12"/>
        <color rgb="FF000000"/>
        <rFont val="Arial"/>
        <family val="2"/>
      </rPr>
      <t xml:space="preserve">
Number</t>
    </r>
  </si>
  <si>
    <r>
      <rPr>
        <b/>
        <sz val="12"/>
        <color rgb="FF000000"/>
        <rFont val="Arial"/>
        <family val="2"/>
      </rPr>
      <t>2003</t>
    </r>
    <r>
      <rPr>
        <sz val="12"/>
        <color rgb="FF000000"/>
        <rFont val="Arial"/>
        <family val="2"/>
      </rPr>
      <t xml:space="preserve">
Percentage of all live births</t>
    </r>
  </si>
  <si>
    <t>Total outside the UK</t>
  </si>
  <si>
    <t>[z]</t>
  </si>
  <si>
    <t>Nigeria</t>
  </si>
  <si>
    <t>Ghana</t>
  </si>
  <si>
    <t>Afghanistan</t>
  </si>
  <si>
    <t>Iraq</t>
  </si>
  <si>
    <t>Albania</t>
  </si>
  <si>
    <t>China</t>
  </si>
  <si>
    <t>Germany</t>
  </si>
  <si>
    <t>Ireland</t>
  </si>
  <si>
    <t>Jamaica</t>
  </si>
  <si>
    <t>Lithuania</t>
  </si>
  <si>
    <t>Somalia</t>
  </si>
  <si>
    <t>South Africa</t>
  </si>
  <si>
    <t>Sri Lanka</t>
  </si>
  <si>
    <t>United States</t>
  </si>
  <si>
    <t>Table 2b: Live births for the ten most common countries of birth of father for non-UK-born fathers, 2008 to 2025</t>
  </si>
  <si>
    <t>Country of birth of father</t>
  </si>
  <si>
    <r>
      <rPr>
        <b/>
        <sz val="12"/>
        <color rgb="FF000000"/>
        <rFont val="Arial"/>
        <family val="2"/>
      </rPr>
      <t>2025</t>
    </r>
    <r>
      <rPr>
        <sz val="12"/>
        <color rgb="FF000000"/>
        <rFont val="Arial"/>
        <family val="2"/>
      </rPr>
      <t xml:space="preserve"> Rank</t>
    </r>
  </si>
  <si>
    <r>
      <rPr>
        <b/>
        <sz val="12"/>
        <color rgb="FF000000"/>
        <rFont val="Arial"/>
        <family val="2"/>
      </rPr>
      <t>2025</t>
    </r>
    <r>
      <rPr>
        <sz val="12"/>
        <color rgb="FF000000"/>
        <rFont val="Arial"/>
        <family val="2"/>
      </rPr>
      <t xml:space="preserve"> Number</t>
    </r>
  </si>
  <si>
    <r>
      <rPr>
        <b/>
        <sz val="12"/>
        <color rgb="FF000000"/>
        <rFont val="Arial"/>
        <family val="2"/>
      </rPr>
      <t>2025</t>
    </r>
    <r>
      <rPr>
        <sz val="12"/>
        <color rgb="FF000000"/>
        <rFont val="Arial"/>
        <family val="2"/>
      </rPr>
      <t xml:space="preserve"> Percentage of all live births</t>
    </r>
  </si>
  <si>
    <r>
      <rPr>
        <b/>
        <sz val="12"/>
        <color rgb="FF000000"/>
        <rFont val="Arial"/>
        <family val="2"/>
      </rPr>
      <t>2024</t>
    </r>
    <r>
      <rPr>
        <sz val="12"/>
        <color rgb="FF000000"/>
        <rFont val="Arial"/>
        <family val="2"/>
      </rPr>
      <t xml:space="preserve"> Rank</t>
    </r>
  </si>
  <si>
    <r>
      <rPr>
        <b/>
        <sz val="12"/>
        <color rgb="FF000000"/>
        <rFont val="Arial"/>
        <family val="2"/>
      </rPr>
      <t>2024</t>
    </r>
    <r>
      <rPr>
        <sz val="12"/>
        <color rgb="FF000000"/>
        <rFont val="Arial"/>
        <family val="2"/>
      </rPr>
      <t xml:space="preserve"> Number</t>
    </r>
  </si>
  <si>
    <r>
      <rPr>
        <b/>
        <sz val="12"/>
        <color rgb="FF000000"/>
        <rFont val="Arial"/>
        <family val="2"/>
      </rPr>
      <t>2024</t>
    </r>
    <r>
      <rPr>
        <sz val="12"/>
        <color rgb="FF000000"/>
        <rFont val="Arial"/>
        <family val="2"/>
      </rPr>
      <t xml:space="preserve"> Percentage of all live births</t>
    </r>
  </si>
  <si>
    <r>
      <rPr>
        <b/>
        <sz val="12"/>
        <color rgb="FF000000"/>
        <rFont val="Arial"/>
        <family val="2"/>
      </rPr>
      <t>2023</t>
    </r>
    <r>
      <rPr>
        <sz val="12"/>
        <color rgb="FF000000"/>
        <rFont val="Arial"/>
        <family val="2"/>
      </rPr>
      <t xml:space="preserve"> Rank</t>
    </r>
  </si>
  <si>
    <r>
      <rPr>
        <b/>
        <sz val="12"/>
        <color rgb="FF000000"/>
        <rFont val="Arial"/>
        <family val="2"/>
      </rPr>
      <t>2023</t>
    </r>
    <r>
      <rPr>
        <sz val="12"/>
        <color rgb="FF000000"/>
        <rFont val="Arial"/>
        <family val="2"/>
      </rPr>
      <t xml:space="preserve"> Number</t>
    </r>
  </si>
  <si>
    <r>
      <rPr>
        <b/>
        <sz val="12"/>
        <color rgb="FF000000"/>
        <rFont val="Arial"/>
        <family val="2"/>
      </rPr>
      <t>2023</t>
    </r>
    <r>
      <rPr>
        <sz val="12"/>
        <color rgb="FF000000"/>
        <rFont val="Arial"/>
        <family val="2"/>
      </rPr>
      <t xml:space="preserve"> Percentage of all live births</t>
    </r>
  </si>
  <si>
    <r>
      <rPr>
        <b/>
        <sz val="12"/>
        <color rgb="FF000000"/>
        <rFont val="Arial"/>
        <family val="2"/>
      </rPr>
      <t>2022</t>
    </r>
    <r>
      <rPr>
        <sz val="12"/>
        <color rgb="FF000000"/>
        <rFont val="Arial"/>
        <family val="2"/>
      </rPr>
      <t xml:space="preserve"> Rank</t>
    </r>
  </si>
  <si>
    <r>
      <rPr>
        <b/>
        <sz val="12"/>
        <color rgb="FF000000"/>
        <rFont val="Arial"/>
        <family val="2"/>
      </rPr>
      <t>2022</t>
    </r>
    <r>
      <rPr>
        <sz val="12"/>
        <color rgb="FF000000"/>
        <rFont val="Arial"/>
        <family val="2"/>
      </rPr>
      <t xml:space="preserve"> Number</t>
    </r>
  </si>
  <si>
    <r>
      <rPr>
        <b/>
        <sz val="12"/>
        <color rgb="FF000000"/>
        <rFont val="Arial"/>
        <family val="2"/>
      </rPr>
      <t>2022</t>
    </r>
    <r>
      <rPr>
        <sz val="12"/>
        <color rgb="FF000000"/>
        <rFont val="Arial"/>
        <family val="2"/>
      </rPr>
      <t xml:space="preserve"> Percentage of all live births</t>
    </r>
  </si>
  <si>
    <r>
      <rPr>
        <b/>
        <sz val="12"/>
        <color rgb="FF000000"/>
        <rFont val="Arial"/>
        <family val="2"/>
      </rPr>
      <t>2021</t>
    </r>
    <r>
      <rPr>
        <sz val="12"/>
        <color rgb="FF000000"/>
        <rFont val="Arial"/>
        <family val="2"/>
      </rPr>
      <t xml:space="preserve"> Rank</t>
    </r>
  </si>
  <si>
    <r>
      <rPr>
        <b/>
        <sz val="12"/>
        <color rgb="FF000000"/>
        <rFont val="Arial"/>
        <family val="2"/>
      </rPr>
      <t>2021</t>
    </r>
    <r>
      <rPr>
        <sz val="12"/>
        <color rgb="FF000000"/>
        <rFont val="Arial"/>
        <family val="2"/>
      </rPr>
      <t xml:space="preserve"> Number</t>
    </r>
  </si>
  <si>
    <r>
      <rPr>
        <b/>
        <sz val="12"/>
        <color rgb="FF000000"/>
        <rFont val="Arial"/>
        <family val="2"/>
      </rPr>
      <t>2021</t>
    </r>
    <r>
      <rPr>
        <sz val="12"/>
        <color rgb="FF000000"/>
        <rFont val="Arial"/>
        <family val="2"/>
      </rPr>
      <t xml:space="preserve"> Percentage of all live births</t>
    </r>
  </si>
  <si>
    <r>
      <rPr>
        <b/>
        <sz val="12"/>
        <color rgb="FF000000"/>
        <rFont val="Arial"/>
        <family val="2"/>
      </rPr>
      <t>2020</t>
    </r>
    <r>
      <rPr>
        <sz val="12"/>
        <color rgb="FF000000"/>
        <rFont val="Arial"/>
        <family val="2"/>
      </rPr>
      <t xml:space="preserve"> Rank</t>
    </r>
  </si>
  <si>
    <r>
      <rPr>
        <b/>
        <sz val="12"/>
        <color rgb="FF000000"/>
        <rFont val="Arial"/>
        <family val="2"/>
      </rPr>
      <t>2020</t>
    </r>
    <r>
      <rPr>
        <sz val="12"/>
        <color rgb="FF000000"/>
        <rFont val="Arial"/>
        <family val="2"/>
      </rPr>
      <t xml:space="preserve"> Number</t>
    </r>
  </si>
  <si>
    <r>
      <rPr>
        <b/>
        <sz val="12"/>
        <color rgb="FF000000"/>
        <rFont val="Arial"/>
        <family val="2"/>
      </rPr>
      <t>2020</t>
    </r>
    <r>
      <rPr>
        <sz val="12"/>
        <color rgb="FF000000"/>
        <rFont val="Arial"/>
        <family val="2"/>
      </rPr>
      <t xml:space="preserve"> Percentage of all live births</t>
    </r>
  </si>
  <si>
    <r>
      <rPr>
        <b/>
        <sz val="12"/>
        <color rgb="FF000000"/>
        <rFont val="Arial"/>
        <family val="2"/>
      </rPr>
      <t>2019</t>
    </r>
    <r>
      <rPr>
        <sz val="12"/>
        <color rgb="FF000000"/>
        <rFont val="Arial"/>
        <family val="2"/>
      </rPr>
      <t xml:space="preserve"> Rank</t>
    </r>
  </si>
  <si>
    <r>
      <rPr>
        <b/>
        <sz val="12"/>
        <color rgb="FF000000"/>
        <rFont val="Arial"/>
        <family val="2"/>
      </rPr>
      <t>2019</t>
    </r>
    <r>
      <rPr>
        <sz val="12"/>
        <color rgb="FF000000"/>
        <rFont val="Arial"/>
        <family val="2"/>
      </rPr>
      <t xml:space="preserve"> Number</t>
    </r>
  </si>
  <si>
    <r>
      <rPr>
        <b/>
        <sz val="12"/>
        <color rgb="FF000000"/>
        <rFont val="Arial"/>
        <family val="2"/>
      </rPr>
      <t>2019</t>
    </r>
    <r>
      <rPr>
        <sz val="12"/>
        <color rgb="FF000000"/>
        <rFont val="Arial"/>
        <family val="2"/>
      </rPr>
      <t xml:space="preserve"> Percentage of all live births</t>
    </r>
  </si>
  <si>
    <t>Table 3: Live births by country of birth of mother and of father, 2025</t>
  </si>
  <si>
    <t>[note 1][note 2][note 3][note 4][note 7][note 11]</t>
  </si>
  <si>
    <t>Country of birth of mother
Total</t>
  </si>
  <si>
    <t>Country of birth of mother
UK</t>
  </si>
  <si>
    <t>Country of birth of mother  
Total outside United Kingdom</t>
  </si>
  <si>
    <t>Country of birth of mother  
EU</t>
  </si>
  <si>
    <r>
      <t xml:space="preserve">Country of birth of mother  
</t>
    </r>
    <r>
      <rPr>
        <sz val="12"/>
        <color rgb="FF000000"/>
        <rFont val="Arial"/>
        <family val="2"/>
      </rPr>
      <t>New EU</t>
    </r>
  </si>
  <si>
    <r>
      <t xml:space="preserve">Country of birth of mother  
</t>
    </r>
    <r>
      <rPr>
        <sz val="12"/>
        <color rgb="FF000000"/>
        <rFont val="Arial"/>
        <family val="2"/>
      </rPr>
      <t>Poland</t>
    </r>
  </si>
  <si>
    <t>Country of birth of mother  
Romania</t>
  </si>
  <si>
    <r>
      <t xml:space="preserve">Country of birth of mother  
</t>
    </r>
    <r>
      <rPr>
        <sz val="12"/>
        <color rgb="FF000000"/>
        <rFont val="Arial"/>
        <family val="2"/>
      </rPr>
      <t>Rest of Europe</t>
    </r>
  </si>
  <si>
    <t>Country of birth of mother  
Africa</t>
  </si>
  <si>
    <r>
      <t xml:space="preserve">Country of birth of mother  
</t>
    </r>
    <r>
      <rPr>
        <sz val="12"/>
        <color rgb="FF000000"/>
        <rFont val="Arial"/>
        <family val="2"/>
      </rPr>
      <t>North Africa</t>
    </r>
  </si>
  <si>
    <r>
      <t xml:space="preserve">Country of birth of mother  
</t>
    </r>
    <r>
      <rPr>
        <sz val="12"/>
        <color rgb="FF000000"/>
        <rFont val="Arial"/>
        <family val="2"/>
      </rPr>
      <t>Western Africa</t>
    </r>
  </si>
  <si>
    <r>
      <t xml:space="preserve">Country of birth of mother  
</t>
    </r>
    <r>
      <rPr>
        <sz val="12"/>
        <color rgb="FF000000"/>
        <rFont val="Arial"/>
        <family val="2"/>
      </rPr>
      <t>Central Africa</t>
    </r>
  </si>
  <si>
    <r>
      <t xml:space="preserve">Country of birth of mother  
</t>
    </r>
    <r>
      <rPr>
        <sz val="12"/>
        <color rgb="FF000000"/>
        <rFont val="Arial"/>
        <family val="2"/>
      </rPr>
      <t>Eastern Africa</t>
    </r>
  </si>
  <si>
    <r>
      <t xml:space="preserve">Country of birth of mother  
</t>
    </r>
    <r>
      <rPr>
        <sz val="12"/>
        <color rgb="FF000000"/>
        <rFont val="Arial"/>
        <family val="2"/>
      </rPr>
      <t>Southern Africa</t>
    </r>
  </si>
  <si>
    <t>Country of birth of mother  
The Americas and the Caribbean</t>
  </si>
  <si>
    <r>
      <t xml:space="preserve">Country of birth of mother  
</t>
    </r>
    <r>
      <rPr>
        <sz val="12"/>
        <color rgb="FF000000"/>
        <rFont val="Arial"/>
        <family val="2"/>
      </rPr>
      <t>North America</t>
    </r>
  </si>
  <si>
    <r>
      <t xml:space="preserve">Country of birth of mother  
</t>
    </r>
    <r>
      <rPr>
        <sz val="12"/>
        <color rgb="FF000000"/>
        <rFont val="Arial"/>
        <family val="2"/>
      </rPr>
      <t>Central America</t>
    </r>
  </si>
  <si>
    <r>
      <t xml:space="preserve">Country of birth of mother  
</t>
    </r>
    <r>
      <rPr>
        <sz val="12"/>
        <color rgb="FF000000"/>
        <rFont val="Arial"/>
        <family val="2"/>
      </rPr>
      <t>South America</t>
    </r>
  </si>
  <si>
    <r>
      <t xml:space="preserve">Country of birth of mother  
</t>
    </r>
    <r>
      <rPr>
        <sz val="12"/>
        <color rgb="FF000000"/>
        <rFont val="Arial"/>
        <family val="2"/>
      </rPr>
      <t>The Caribbean</t>
    </r>
  </si>
  <si>
    <t>Country of birth of mother  
Middle East and Asia</t>
  </si>
  <si>
    <r>
      <t xml:space="preserve">Country of birth of mother  
</t>
    </r>
    <r>
      <rPr>
        <sz val="12"/>
        <color rgb="FF000000"/>
        <rFont val="Arial"/>
        <family val="2"/>
      </rPr>
      <t>Middle East</t>
    </r>
  </si>
  <si>
    <r>
      <t xml:space="preserve">Country of birth of mother  
</t>
    </r>
    <r>
      <rPr>
        <sz val="12"/>
        <color rgb="FF000000"/>
        <rFont val="Arial"/>
        <family val="2"/>
      </rPr>
      <t>Central Asia</t>
    </r>
  </si>
  <si>
    <r>
      <t xml:space="preserve">Country of birth of mother  
</t>
    </r>
    <r>
      <rPr>
        <sz val="12"/>
        <color rgb="FF000000"/>
        <rFont val="Arial"/>
        <family val="2"/>
      </rPr>
      <t>Eastern Asia</t>
    </r>
  </si>
  <si>
    <r>
      <t xml:space="preserve">Country of birth of mother  
</t>
    </r>
    <r>
      <rPr>
        <sz val="12"/>
        <color rgb="FF000000"/>
        <rFont val="Arial"/>
        <family val="2"/>
      </rPr>
      <t>Southern Asia</t>
    </r>
  </si>
  <si>
    <r>
      <t xml:space="preserve">Country of birth of mother  
</t>
    </r>
    <r>
      <rPr>
        <sz val="12"/>
        <color rgb="FF000000"/>
        <rFont val="Arial"/>
        <family val="2"/>
      </rPr>
      <t>India</t>
    </r>
  </si>
  <si>
    <r>
      <t xml:space="preserve">Country of birth of mother  
</t>
    </r>
    <r>
      <rPr>
        <sz val="12"/>
        <color rgb="FF000000"/>
        <rFont val="Arial"/>
        <family val="2"/>
      </rPr>
      <t>Pakistan</t>
    </r>
  </si>
  <si>
    <r>
      <t xml:space="preserve">Country of birth of mother  
</t>
    </r>
    <r>
      <rPr>
        <sz val="12"/>
        <color rgb="FF000000"/>
        <rFont val="Arial"/>
        <family val="2"/>
      </rPr>
      <t>Bangladesh</t>
    </r>
  </si>
  <si>
    <r>
      <t xml:space="preserve">Country of birth of mother  
</t>
    </r>
    <r>
      <rPr>
        <sz val="12"/>
        <color rgb="FF000000"/>
        <rFont val="Arial"/>
        <family val="2"/>
      </rPr>
      <t>South East Asia</t>
    </r>
  </si>
  <si>
    <t>Country of birth of mother  
Antarctica and Oceania</t>
  </si>
  <si>
    <r>
      <t xml:space="preserve">Country of birth of mother  
</t>
    </r>
    <r>
      <rPr>
        <sz val="12"/>
        <color rgb="FF000000"/>
        <rFont val="Arial"/>
        <family val="2"/>
      </rPr>
      <t>Australasia</t>
    </r>
  </si>
  <si>
    <r>
      <t xml:space="preserve">Country of birth of mother  
</t>
    </r>
    <r>
      <rPr>
        <sz val="12"/>
        <color rgb="FF000000"/>
        <rFont val="Arial"/>
        <family val="2"/>
      </rPr>
      <t>Other Oceania</t>
    </r>
  </si>
  <si>
    <t>Country of birth of mother  
Not Stated</t>
  </si>
  <si>
    <t>Table 4: Live births by country of birth of mother and of father, 2008 to 2025</t>
  </si>
  <si>
    <t>[note 1][note 2][note 3][note 4][note 5][note 11][note 12]</t>
  </si>
  <si>
    <t>Country of birth of mother and of father</t>
  </si>
  <si>
    <r>
      <t xml:space="preserve">2025
</t>
    </r>
    <r>
      <rPr>
        <sz val="12"/>
        <color rgb="FF000000"/>
        <rFont val="Arial"/>
        <family val="2"/>
      </rPr>
      <t>Numbers</t>
    </r>
  </si>
  <si>
    <r>
      <t xml:space="preserve">2025
</t>
    </r>
    <r>
      <rPr>
        <sz val="12"/>
        <color rgb="FF000000"/>
        <rFont val="Arial"/>
        <family val="2"/>
      </rPr>
      <t>Percentages</t>
    </r>
  </si>
  <si>
    <r>
      <t xml:space="preserve">2024
</t>
    </r>
    <r>
      <rPr>
        <sz val="12"/>
        <color rgb="FF000000"/>
        <rFont val="Arial"/>
        <family val="2"/>
      </rPr>
      <t>Numbers</t>
    </r>
    <r>
      <rPr>
        <b/>
        <sz val="12"/>
        <color rgb="FF000000"/>
        <rFont val="Arial"/>
        <family val="2"/>
      </rPr>
      <t xml:space="preserve"> </t>
    </r>
  </si>
  <si>
    <r>
      <t xml:space="preserve">2024
</t>
    </r>
    <r>
      <rPr>
        <sz val="12"/>
        <color rgb="FF000000"/>
        <rFont val="Arial"/>
        <family val="2"/>
      </rPr>
      <t>Percentages</t>
    </r>
  </si>
  <si>
    <r>
      <t xml:space="preserve">2023
</t>
    </r>
    <r>
      <rPr>
        <sz val="12"/>
        <color rgb="FF000000"/>
        <rFont val="Arial"/>
        <family val="2"/>
      </rPr>
      <t>Numbers</t>
    </r>
  </si>
  <si>
    <r>
      <t xml:space="preserve">2023
</t>
    </r>
    <r>
      <rPr>
        <sz val="12"/>
        <color rgb="FF000000"/>
        <rFont val="Arial"/>
        <family val="2"/>
      </rPr>
      <t>Percentages</t>
    </r>
  </si>
  <si>
    <r>
      <t xml:space="preserve">2022
</t>
    </r>
    <r>
      <rPr>
        <sz val="12"/>
        <color rgb="FF000000"/>
        <rFont val="Arial"/>
        <family val="2"/>
      </rPr>
      <t>Numbers</t>
    </r>
  </si>
  <si>
    <r>
      <t xml:space="preserve">2022
</t>
    </r>
    <r>
      <rPr>
        <sz val="12"/>
        <color rgb="FF000000"/>
        <rFont val="Arial"/>
        <family val="2"/>
      </rPr>
      <t>Percentages</t>
    </r>
  </si>
  <si>
    <r>
      <t xml:space="preserve">2021
</t>
    </r>
    <r>
      <rPr>
        <sz val="12"/>
        <color rgb="FF000000"/>
        <rFont val="Arial"/>
        <family val="2"/>
      </rPr>
      <t>Numbers</t>
    </r>
  </si>
  <si>
    <r>
      <t xml:space="preserve">2021
</t>
    </r>
    <r>
      <rPr>
        <sz val="12"/>
        <color rgb="FF000000"/>
        <rFont val="Arial"/>
        <family val="2"/>
      </rPr>
      <t>Percentages</t>
    </r>
  </si>
  <si>
    <r>
      <t xml:space="preserve">2020
</t>
    </r>
    <r>
      <rPr>
        <sz val="12"/>
        <color rgb="FF000000"/>
        <rFont val="Arial"/>
        <family val="2"/>
      </rPr>
      <t xml:space="preserve">Numbers </t>
    </r>
  </si>
  <si>
    <r>
      <t xml:space="preserve">2020
</t>
    </r>
    <r>
      <rPr>
        <sz val="12"/>
        <color rgb="FF000000"/>
        <rFont val="Arial"/>
        <family val="2"/>
      </rPr>
      <t>Percentages</t>
    </r>
  </si>
  <si>
    <r>
      <t xml:space="preserve">2019
</t>
    </r>
    <r>
      <rPr>
        <sz val="12"/>
        <color rgb="FF000000"/>
        <rFont val="Arial"/>
        <family val="2"/>
      </rPr>
      <t>Numbers</t>
    </r>
  </si>
  <si>
    <r>
      <t xml:space="preserve">2019
</t>
    </r>
    <r>
      <rPr>
        <sz val="12"/>
        <color rgb="FF000000"/>
        <rFont val="Arial"/>
        <family val="2"/>
      </rPr>
      <t>Percentages</t>
    </r>
  </si>
  <si>
    <r>
      <t xml:space="preserve">2018
</t>
    </r>
    <r>
      <rPr>
        <sz val="12"/>
        <color rgb="FF000000"/>
        <rFont val="Arial"/>
        <family val="2"/>
      </rPr>
      <t>Numbers</t>
    </r>
  </si>
  <si>
    <r>
      <t xml:space="preserve">2018
</t>
    </r>
    <r>
      <rPr>
        <sz val="12"/>
        <color rgb="FF000000"/>
        <rFont val="Arial"/>
        <family val="2"/>
      </rPr>
      <t>Percentages</t>
    </r>
  </si>
  <si>
    <r>
      <t xml:space="preserve">2017
</t>
    </r>
    <r>
      <rPr>
        <sz val="12"/>
        <color rgb="FF000000"/>
        <rFont val="Arial"/>
        <family val="2"/>
      </rPr>
      <t>Numbers</t>
    </r>
  </si>
  <si>
    <r>
      <t xml:space="preserve">2017
</t>
    </r>
    <r>
      <rPr>
        <sz val="12"/>
        <color rgb="FF000000"/>
        <rFont val="Arial"/>
        <family val="2"/>
      </rPr>
      <t>Percentages</t>
    </r>
  </si>
  <si>
    <r>
      <t xml:space="preserve">2016
</t>
    </r>
    <r>
      <rPr>
        <sz val="12"/>
        <color rgb="FF000000"/>
        <rFont val="Arial"/>
        <family val="2"/>
      </rPr>
      <t>Numbers</t>
    </r>
  </si>
  <si>
    <r>
      <t xml:space="preserve">2016
</t>
    </r>
    <r>
      <rPr>
        <sz val="12"/>
        <color rgb="FF000000"/>
        <rFont val="Arial"/>
        <family val="2"/>
      </rPr>
      <t>Percentages</t>
    </r>
  </si>
  <si>
    <r>
      <t xml:space="preserve">2015
</t>
    </r>
    <r>
      <rPr>
        <sz val="12"/>
        <color rgb="FF000000"/>
        <rFont val="Arial"/>
        <family val="2"/>
      </rPr>
      <t>Numbers</t>
    </r>
  </si>
  <si>
    <r>
      <t xml:space="preserve">2015
</t>
    </r>
    <r>
      <rPr>
        <sz val="12"/>
        <color rgb="FF000000"/>
        <rFont val="Arial"/>
        <family val="2"/>
      </rPr>
      <t>Percentages</t>
    </r>
  </si>
  <si>
    <r>
      <t xml:space="preserve">2014
</t>
    </r>
    <r>
      <rPr>
        <sz val="12"/>
        <color rgb="FF000000"/>
        <rFont val="Arial"/>
        <family val="2"/>
      </rPr>
      <t>Numbers</t>
    </r>
  </si>
  <si>
    <r>
      <t xml:space="preserve">2014
</t>
    </r>
    <r>
      <rPr>
        <sz val="12"/>
        <color rgb="FF000000"/>
        <rFont val="Arial"/>
        <family val="2"/>
      </rPr>
      <t>Percentages</t>
    </r>
  </si>
  <si>
    <r>
      <t xml:space="preserve">2013
</t>
    </r>
    <r>
      <rPr>
        <sz val="12"/>
        <color rgb="FF000000"/>
        <rFont val="Arial"/>
        <family val="2"/>
      </rPr>
      <t>Numbers</t>
    </r>
  </si>
  <si>
    <r>
      <t xml:space="preserve">2013
</t>
    </r>
    <r>
      <rPr>
        <sz val="12"/>
        <color rgb="FF000000"/>
        <rFont val="Arial"/>
        <family val="2"/>
      </rPr>
      <t>Percentages</t>
    </r>
  </si>
  <si>
    <r>
      <t xml:space="preserve">2012
</t>
    </r>
    <r>
      <rPr>
        <sz val="12"/>
        <color rgb="FF000000"/>
        <rFont val="Arial"/>
        <family val="2"/>
      </rPr>
      <t>Numbers</t>
    </r>
  </si>
  <si>
    <r>
      <t xml:space="preserve">2012
</t>
    </r>
    <r>
      <rPr>
        <sz val="12"/>
        <color rgb="FF000000"/>
        <rFont val="Arial"/>
        <family val="2"/>
      </rPr>
      <t>Percentages</t>
    </r>
  </si>
  <si>
    <r>
      <t xml:space="preserve">2011
</t>
    </r>
    <r>
      <rPr>
        <sz val="12"/>
        <color rgb="FF000000"/>
        <rFont val="Arial"/>
        <family val="2"/>
      </rPr>
      <t>Numbers</t>
    </r>
  </si>
  <si>
    <r>
      <t xml:space="preserve">2011
</t>
    </r>
    <r>
      <rPr>
        <sz val="12"/>
        <color rgb="FF000000"/>
        <rFont val="Arial"/>
        <family val="2"/>
      </rPr>
      <t>Percentages</t>
    </r>
  </si>
  <si>
    <r>
      <t xml:space="preserve">2010
</t>
    </r>
    <r>
      <rPr>
        <sz val="12"/>
        <color rgb="FF000000"/>
        <rFont val="Arial"/>
        <family val="2"/>
      </rPr>
      <t>Numbers</t>
    </r>
  </si>
  <si>
    <r>
      <t xml:space="preserve">2010
</t>
    </r>
    <r>
      <rPr>
        <sz val="12"/>
        <color rgb="FF000000"/>
        <rFont val="Arial"/>
        <family val="2"/>
      </rPr>
      <t>Percentages</t>
    </r>
  </si>
  <si>
    <r>
      <t xml:space="preserve">2009
</t>
    </r>
    <r>
      <rPr>
        <sz val="12"/>
        <color rgb="FF000000"/>
        <rFont val="Arial"/>
        <family val="2"/>
      </rPr>
      <t>Numbers</t>
    </r>
  </si>
  <si>
    <r>
      <t xml:space="preserve">2009
</t>
    </r>
    <r>
      <rPr>
        <sz val="12"/>
        <color rgb="FF000000"/>
        <rFont val="Arial"/>
        <family val="2"/>
      </rPr>
      <t>Percentages</t>
    </r>
  </si>
  <si>
    <r>
      <t xml:space="preserve">2008
</t>
    </r>
    <r>
      <rPr>
        <sz val="12"/>
        <color rgb="FF000000"/>
        <rFont val="Arial"/>
        <family val="2"/>
      </rPr>
      <t>Numbers</t>
    </r>
  </si>
  <si>
    <r>
      <t xml:space="preserve">2008
</t>
    </r>
    <r>
      <rPr>
        <sz val="12"/>
        <color rgb="FF000000"/>
        <rFont val="Arial"/>
        <family val="2"/>
      </rPr>
      <t>Percentages</t>
    </r>
  </si>
  <si>
    <t>Mother and father non-UK-born</t>
  </si>
  <si>
    <t>Mother non-UK-born, father born in the UK</t>
  </si>
  <si>
    <t>Mother non-UK-born, father not recorded or not stated</t>
  </si>
  <si>
    <t>Mother born in the UK, father non-UK-born</t>
  </si>
  <si>
    <t>Mother born in the UK, father not recorded or not stated</t>
  </si>
  <si>
    <t>Mother and father born in the UK</t>
  </si>
  <si>
    <t>Mother's country of birth is not stated</t>
  </si>
  <si>
    <t>[low]</t>
  </si>
  <si>
    <t>Table 5: Live births by age of mother and country of birth of mother, 2025</t>
  </si>
  <si>
    <t>[note 1][note 2][note 11]</t>
  </si>
  <si>
    <t>Age of mother at birth  
All ages</t>
  </si>
  <si>
    <r>
      <t xml:space="preserve">Age of mother at birth  
</t>
    </r>
    <r>
      <rPr>
        <sz val="12"/>
        <color rgb="FF000000"/>
        <rFont val="Arial"/>
        <family val="2"/>
      </rPr>
      <t>Under 20</t>
    </r>
  </si>
  <si>
    <r>
      <t xml:space="preserve">Age of mother at birth  
</t>
    </r>
    <r>
      <rPr>
        <sz val="12"/>
        <color rgb="FF000000"/>
        <rFont val="Arial"/>
        <family val="2"/>
      </rPr>
      <t>20 to 24</t>
    </r>
  </si>
  <si>
    <r>
      <t xml:space="preserve">Age of mother at birth  
</t>
    </r>
    <r>
      <rPr>
        <sz val="12"/>
        <color rgb="FF000000"/>
        <rFont val="Arial"/>
        <family val="2"/>
      </rPr>
      <t>25 to 29</t>
    </r>
  </si>
  <si>
    <r>
      <t xml:space="preserve">Age of mother at birth  
</t>
    </r>
    <r>
      <rPr>
        <sz val="12"/>
        <color rgb="FF000000"/>
        <rFont val="Arial"/>
        <family val="2"/>
      </rPr>
      <t>30 to 34</t>
    </r>
  </si>
  <si>
    <r>
      <t xml:space="preserve">Age of mother at birth  
</t>
    </r>
    <r>
      <rPr>
        <sz val="12"/>
        <color rgb="FF000000"/>
        <rFont val="Arial"/>
        <family val="2"/>
      </rPr>
      <t>35 to 39</t>
    </r>
  </si>
  <si>
    <r>
      <t xml:space="preserve">Age of mother at birth  
</t>
    </r>
    <r>
      <rPr>
        <sz val="12"/>
        <color rgb="FF000000"/>
        <rFont val="Arial"/>
        <family val="2"/>
      </rPr>
      <t>40 to 44</t>
    </r>
  </si>
  <si>
    <r>
      <t xml:space="preserve">Age of mother at birth  
</t>
    </r>
    <r>
      <rPr>
        <sz val="12"/>
        <color rgb="FF000000"/>
        <rFont val="Arial"/>
        <family val="2"/>
      </rPr>
      <t>45 to 49</t>
    </r>
  </si>
  <si>
    <r>
      <t xml:space="preserve">Age of mother at birth  
</t>
    </r>
    <r>
      <rPr>
        <sz val="12"/>
        <color rgb="FF000000"/>
        <rFont val="Arial"/>
        <family val="2"/>
      </rPr>
      <t>50 and over</t>
    </r>
  </si>
  <si>
    <r>
      <t xml:space="preserve">Age of mother at birth  
</t>
    </r>
    <r>
      <rPr>
        <sz val="12"/>
        <color rgb="FF000000"/>
        <rFont val="Arial"/>
        <family val="2"/>
      </rPr>
      <t>Not Stated</t>
    </r>
  </si>
  <si>
    <t>Table 6a: Live births by country of birth of mother and area of usual residence, 2025</t>
  </si>
  <si>
    <t>[note 1][note 2][note 5][note 6][note 7][note 8][note 9][note 11]</t>
  </si>
  <si>
    <r>
      <t xml:space="preserve">Area of usual residence
</t>
    </r>
    <r>
      <rPr>
        <sz val="12"/>
        <color rgb="FF000000"/>
        <rFont val="Arial"/>
        <family val="2"/>
      </rPr>
      <t>Code</t>
    </r>
  </si>
  <si>
    <r>
      <t xml:space="preserve">Area of usual residence
</t>
    </r>
    <r>
      <rPr>
        <sz val="12"/>
        <color rgb="FF000000"/>
        <rFont val="Arial"/>
        <family val="2"/>
      </rPr>
      <t>Name</t>
    </r>
  </si>
  <si>
    <r>
      <t xml:space="preserve">Area of usual residence
</t>
    </r>
    <r>
      <rPr>
        <sz val="12"/>
        <color rgb="FF000000"/>
        <rFont val="Arial"/>
        <family val="2"/>
      </rPr>
      <t>Geography</t>
    </r>
  </si>
  <si>
    <t>Number of live births</t>
  </si>
  <si>
    <t>Live births to UK-born mothers</t>
  </si>
  <si>
    <t>Live births to non-UK-born mothers</t>
  </si>
  <si>
    <r>
      <t xml:space="preserve">Live births to non-UK-born mothers 
</t>
    </r>
    <r>
      <rPr>
        <sz val="12"/>
        <color rgb="FF000000"/>
        <rFont val="Arial"/>
        <family val="2"/>
      </rPr>
      <t>Percentage of all live births</t>
    </r>
  </si>
  <si>
    <r>
      <t xml:space="preserve">Live births to non-UK-born mothers 
</t>
    </r>
    <r>
      <rPr>
        <sz val="12"/>
        <color rgb="FF000000"/>
        <rFont val="Arial"/>
        <family val="2"/>
      </rPr>
      <t>Mother's country of birth  
EU</t>
    </r>
  </si>
  <si>
    <r>
      <t xml:space="preserve">Live births to non-UK-born mothers 
</t>
    </r>
    <r>
      <rPr>
        <sz val="12"/>
        <color rgb="FF000000"/>
        <rFont val="Arial"/>
        <family val="2"/>
      </rPr>
      <t>Mother's country of birth  
New EU</t>
    </r>
  </si>
  <si>
    <r>
      <t xml:space="preserve">Live births to non-UK-born mothers 
</t>
    </r>
    <r>
      <rPr>
        <sz val="12"/>
        <color rgb="FF000000"/>
        <rFont val="Arial"/>
        <family val="2"/>
      </rPr>
      <t>Mother's country of birth  
Rest of Europe (non EU)</t>
    </r>
  </si>
  <si>
    <r>
      <t xml:space="preserve">Live births to non-UK-born mothers 
</t>
    </r>
    <r>
      <rPr>
        <sz val="12"/>
        <color rgb="FF000000"/>
        <rFont val="Arial"/>
        <family val="2"/>
      </rPr>
      <t>Mother's country of birth  
Africa</t>
    </r>
  </si>
  <si>
    <r>
      <t xml:space="preserve">Live births to non-UK-born mothers 
</t>
    </r>
    <r>
      <rPr>
        <sz val="12"/>
        <color rgb="FF000000"/>
        <rFont val="Arial"/>
        <family val="2"/>
      </rPr>
      <t>Mother's country of birth  
Middle East and Asia</t>
    </r>
  </si>
  <si>
    <r>
      <t xml:space="preserve">Live births to non-UK-born mothers 
</t>
    </r>
    <r>
      <rPr>
        <sz val="12"/>
        <color rgb="FF000000"/>
        <rFont val="Arial"/>
        <family val="2"/>
      </rPr>
      <t>Mother's country of birth  
Rest of World</t>
    </r>
  </si>
  <si>
    <t>K04000001, J99000001</t>
  </si>
  <si>
    <t>ENGLAND, WALES AND ELSEWHERE</t>
  </si>
  <si>
    <t>Country</t>
  </si>
  <si>
    <t>K04000001</t>
  </si>
  <si>
    <t>ENGLAND AND WALES</t>
  </si>
  <si>
    <t>E92000001</t>
  </si>
  <si>
    <t>ENGLAND</t>
  </si>
  <si>
    <t>E12000001</t>
  </si>
  <si>
    <t>NORTH EAST</t>
  </si>
  <si>
    <t>Region</t>
  </si>
  <si>
    <t>E06000047</t>
  </si>
  <si>
    <t>County Durham</t>
  </si>
  <si>
    <t>Unitary Authority</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</si>
  <si>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</si>
  <si>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</si>
  <si>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</si>
  <si>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</si>
  <si>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</si>
  <si>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</si>
  <si>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</si>
  <si>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</si>
  <si>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</si>
  <si>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</si>
  <si>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</si>
  <si>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</si>
  <si>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</si>
  <si>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t>
  </si>
  <si>
    <t>Metropolitan County</t>
  </si>
  <si>
    <t>E08000037</t>
  </si>
  <si>
    <t>Gateshead</t>
  </si>
  <si>
    <t>Metropolitan District</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</si>
  <si>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</si>
  <si>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</si>
  <si>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</si>
  <si>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</si>
  <si>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</si>
  <si>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</si>
  <si>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</si>
  <si>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</si>
  <si>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</si>
  <si>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</si>
  <si>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</si>
  <si>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</si>
  <si>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</si>
  <si>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</si>
  <si>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</si>
  <si>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</si>
  <si>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</si>
  <si>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</si>
  <si>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E06000006</t>
  </si>
  <si>
    <t>Halton</t>
  </si>
  <si>
    <t>E06000007</t>
  </si>
  <si>
    <t>Warrington</t>
  </si>
  <si>
    <t>E06000063</t>
  </si>
  <si>
    <t>Cumberland</t>
  </si>
  <si>
    <t>E06000064</t>
  </si>
  <si>
    <t>Westmorland and Furness</t>
  </si>
  <si>
    <t>E11000001</t>
  </si>
  <si>
    <t>Greater Manchester</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</si>
  <si>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</si>
  <si>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</si>
  <si>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</si>
  <si>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</si>
  <si>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</si>
  <si>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</si>
  <si>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</si>
  <si>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</si>
  <si>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</si>
  <si>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</si>
  <si>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</si>
  <si>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</si>
  <si>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</si>
  <si>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</si>
  <si>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</si>
  <si>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</si>
  <si>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</si>
  <si>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</si>
  <si>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</si>
  <si>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</si>
  <si>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</si>
  <si>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</si>
  <si>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County</t>
  </si>
  <si>
    <t>E07000117</t>
  </si>
  <si>
    <t>Burnley</t>
  </si>
  <si>
    <t>Non-metropolitan District</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</si>
  <si>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</si>
  <si>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</si>
  <si>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</si>
  <si>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</si>
  <si>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</si>
  <si>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</si>
  <si>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</si>
  <si>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</si>
  <si>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</si>
  <si>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</si>
  <si>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</si>
  <si>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</si>
  <si>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</si>
  <si>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</si>
  <si>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</si>
  <si>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</si>
  <si>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</si>
  <si>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</si>
  <si>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</si>
  <si>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</si>
  <si>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</si>
  <si>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</si>
  <si>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</si>
  <si>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</si>
  <si>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</si>
  <si>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</si>
  <si>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</si>
  <si>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</si>
  <si>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</si>
  <si>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</si>
  <si>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</si>
  <si>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</si>
  <si>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</si>
  <si>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</si>
  <si>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</si>
  <si>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</si>
  <si>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</si>
  <si>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</si>
  <si>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</si>
  <si>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</si>
  <si>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</si>
  <si>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</si>
  <si>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</si>
  <si>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</si>
  <si>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E06000014</t>
  </si>
  <si>
    <t>York</t>
  </si>
  <si>
    <t>E06000065</t>
  </si>
  <si>
    <t>North Yorkshire</t>
  </si>
  <si>
    <t>E11000003</t>
  </si>
  <si>
    <t>South Yorkshire</t>
  </si>
  <si>
    <t>E08000038</t>
  </si>
  <si>
    <t>Barnsley</t>
  </si>
  <si>
    <t>E08000017</t>
  </si>
  <si>
    <t>Doncaster</t>
  </si>
  <si>
    <t>E08000018</t>
  </si>
  <si>
    <t>Rotherham</t>
  </si>
  <si>
    <t>E08000039</t>
  </si>
  <si>
    <t>Sheffield</t>
  </si>
  <si>
    <t>E11000006</t>
  </si>
  <si>
    <t>West Yorkshire</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</si>
  <si>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</si>
  <si>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</si>
  <si>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</si>
  <si>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</si>
  <si>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</si>
  <si>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</si>
  <si>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</si>
  <si>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</si>
  <si>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</si>
  <si>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</si>
  <si>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</si>
  <si>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</si>
  <si>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</si>
  <si>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</si>
  <si>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</si>
  <si>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</si>
  <si>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E06000018</t>
  </si>
  <si>
    <t>Nottingham</t>
  </si>
  <si>
    <t>E06000017</t>
  </si>
  <si>
    <t>Rutland</t>
  </si>
  <si>
    <t>E06000061</t>
  </si>
  <si>
    <t>North Northamptonshire</t>
  </si>
  <si>
    <t>E06000062</t>
  </si>
  <si>
    <t>West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</si>
  <si>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</si>
  <si>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</si>
  <si>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</si>
  <si>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</si>
  <si>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</si>
  <si>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</si>
  <si>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</si>
  <si>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</si>
  <si>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</si>
  <si>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</si>
  <si>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</si>
  <si>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</si>
  <si>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</si>
  <si>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</si>
  <si>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</si>
  <si>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</si>
  <si>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</si>
  <si>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</si>
  <si>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</si>
  <si>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</si>
  <si>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</si>
  <si>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</si>
  <si>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</si>
  <si>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</si>
  <si>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</si>
  <si>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</si>
  <si>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</si>
  <si>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</si>
  <si>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</si>
  <si>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</si>
  <si>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</si>
  <si>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</si>
  <si>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</si>
  <si>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</si>
  <si>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</si>
  <si>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</si>
  <si>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</si>
  <si>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</si>
  <si>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</si>
  <si>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</si>
  <si>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</si>
  <si>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</si>
  <si>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</si>
  <si>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</si>
  <si>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</si>
  <si>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</si>
  <si>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</si>
  <si>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</si>
  <si>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</si>
  <si>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</si>
  <si>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</si>
  <si>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</si>
  <si>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</si>
  <si>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</si>
  <si>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</si>
  <si>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</si>
  <si>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</si>
  <si>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</si>
  <si>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</si>
  <si>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</si>
  <si>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</si>
  <si>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</si>
  <si>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</si>
  <si>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</si>
  <si>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</si>
  <si>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</si>
  <si>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</si>
  <si>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</si>
  <si>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</si>
  <si>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</si>
  <si>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</si>
  <si>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</si>
  <si>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</si>
  <si>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</si>
  <si>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</si>
  <si>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</si>
  <si>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</si>
  <si>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</si>
  <si>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</si>
  <si>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</si>
  <si>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</si>
  <si>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</si>
  <si>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</si>
  <si>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</si>
  <si>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</si>
  <si>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</si>
  <si>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</si>
  <si>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</si>
  <si>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</si>
  <si>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</si>
  <si>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</si>
  <si>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</si>
  <si>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</si>
  <si>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</si>
  <si>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</si>
  <si>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</si>
  <si>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</si>
  <si>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</si>
  <si>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</si>
  <si>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</si>
  <si>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</si>
  <si>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</si>
  <si>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</si>
  <si>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</si>
  <si>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</si>
  <si>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</si>
  <si>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</si>
  <si>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</si>
  <si>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</si>
  <si>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</si>
  <si>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</si>
  <si>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</si>
  <si>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</si>
  <si>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</si>
  <si>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</si>
  <si>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</si>
  <si>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</si>
  <si>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</si>
  <si>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</si>
  <si>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</si>
  <si>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</si>
  <si>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</si>
  <si>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</si>
  <si>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</si>
  <si>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</si>
  <si>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</si>
  <si>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</si>
  <si>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</si>
  <si>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</si>
  <si>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</si>
  <si>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</si>
  <si>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</si>
  <si>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</si>
  <si>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</si>
  <si>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</si>
  <si>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</si>
  <si>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</si>
  <si>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 OF ENGLAND</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</si>
  <si>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</si>
  <si>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</si>
  <si>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</si>
  <si>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</si>
  <si>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</si>
  <si>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</si>
  <si>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</si>
  <si>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</si>
  <si>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</si>
  <si>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</si>
  <si>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</si>
  <si>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</si>
  <si>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</si>
  <si>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</si>
  <si>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</si>
  <si>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</si>
  <si>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</si>
  <si>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</si>
  <si>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</si>
  <si>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</si>
  <si>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</si>
  <si>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</si>
  <si>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</si>
  <si>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</si>
  <si>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</si>
  <si>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</si>
  <si>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</si>
  <si>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</si>
  <si>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</si>
  <si>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</si>
  <si>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</si>
  <si>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</si>
  <si>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</si>
  <si>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</si>
  <si>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</si>
  <si>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</si>
  <si>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</si>
  <si>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</si>
  <si>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</si>
  <si>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</si>
  <si>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</si>
  <si>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</si>
  <si>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</si>
  <si>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</si>
  <si>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</si>
  <si>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</si>
  <si>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</si>
  <si>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</si>
  <si>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</si>
  <si>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</si>
  <si>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</si>
  <si>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</si>
  <si>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</si>
  <si>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</si>
  <si>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</si>
  <si>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</si>
  <si>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E07000098</t>
  </si>
  <si>
    <t>Hertsmere</t>
  </si>
  <si>
    <t>E07000099</t>
  </si>
  <si>
    <t>North Hertfordshire</t>
  </si>
  <si>
    <t>E07000102</t>
  </si>
  <si>
    <t>Three Rivers</t>
  </si>
  <si>
    <t>E07000103</t>
  </si>
  <si>
    <t>Watford</t>
  </si>
  <si>
    <t>E07000240</t>
  </si>
  <si>
    <t>St Albans</t>
  </si>
  <si>
    <t>E07000241</t>
  </si>
  <si>
    <t>Welwyn Hatfield</t>
  </si>
  <si>
    <t>E07000242</t>
  </si>
  <si>
    <t>East Hertfordshire</t>
  </si>
  <si>
    <t>E07000243</t>
  </si>
  <si>
    <t>Stevenage</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</si>
  <si>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</si>
  <si>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</si>
  <si>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</si>
  <si>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</si>
  <si>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</si>
  <si>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</si>
  <si>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</si>
  <si>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</si>
  <si>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</si>
  <si>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</si>
  <si>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</si>
  <si>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</si>
  <si>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</si>
  <si>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</si>
  <si>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</si>
  <si>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</si>
  <si>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</si>
  <si>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</si>
  <si>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</si>
  <si>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</si>
  <si>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E07000202</t>
  </si>
  <si>
    <t>Ipswich</t>
  </si>
  <si>
    <t>E07000203</t>
  </si>
  <si>
    <t>Mid Suffolk</t>
  </si>
  <si>
    <t>E07000244</t>
  </si>
  <si>
    <t>East Suffolk</t>
  </si>
  <si>
    <t>E07000245</t>
  </si>
  <si>
    <t>West Suffolk</t>
  </si>
  <si>
    <t>E12000007</t>
  </si>
  <si>
    <t>LONDON</t>
  </si>
  <si>
    <t>E13000001</t>
  </si>
  <si>
    <t>Inner London</t>
  </si>
  <si>
    <t>E09000007</t>
  </si>
  <si>
    <t>Camden</t>
  </si>
  <si>
    <t>London Borough</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</si>
  <si>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</si>
  <si>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</si>
  <si>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</si>
  <si>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</si>
  <si>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</si>
  <si>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</si>
  <si>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</si>
  <si>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</si>
  <si>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</si>
  <si>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</si>
  <si>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</si>
  <si>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</si>
  <si>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</si>
  <si>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</si>
  <si>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</si>
  <si>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</si>
  <si>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</si>
  <si>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</si>
  <si>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</si>
  <si>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</si>
  <si>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</si>
  <si>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</si>
  <si>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</si>
  <si>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</si>
  <si>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</si>
  <si>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</si>
  <si>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</si>
  <si>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</si>
  <si>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</si>
  <si>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</si>
  <si>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</si>
  <si>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</si>
  <si>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</si>
  <si>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</si>
  <si>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</si>
  <si>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</si>
  <si>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</si>
  <si>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</si>
  <si>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</si>
  <si>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</si>
  <si>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</si>
  <si>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</si>
  <si>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</si>
  <si>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</si>
  <si>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</si>
  <si>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</si>
  <si>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</si>
  <si>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</si>
  <si>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</si>
  <si>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</si>
  <si>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</si>
  <si>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</si>
  <si>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</si>
  <si>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</si>
  <si>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</si>
  <si>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</si>
  <si>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</si>
  <si>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</si>
  <si>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</si>
  <si>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</si>
  <si>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</si>
  <si>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</si>
  <si>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</si>
  <si>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</si>
  <si>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</si>
  <si>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</si>
  <si>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</si>
  <si>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</si>
  <si>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</si>
  <si>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</si>
  <si>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</si>
  <si>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</si>
  <si>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</si>
  <si>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</si>
  <si>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</si>
  <si>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</si>
  <si>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</si>
  <si>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</si>
  <si>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</si>
  <si>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</si>
  <si>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</si>
  <si>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</si>
  <si>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</si>
  <si>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</si>
  <si>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</si>
  <si>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</si>
  <si>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</si>
  <si>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</si>
  <si>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</si>
  <si>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</si>
  <si>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</si>
  <si>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</si>
  <si>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</si>
  <si>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</si>
  <si>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</si>
  <si>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</si>
  <si>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</si>
  <si>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</si>
  <si>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</si>
  <si>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</si>
  <si>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</si>
  <si>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</si>
  <si>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</si>
  <si>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</si>
  <si>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</si>
  <si>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</si>
  <si>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</si>
  <si>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</si>
  <si>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</si>
  <si>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</si>
  <si>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</si>
  <si>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</si>
  <si>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</si>
  <si>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</si>
  <si>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</si>
  <si>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</si>
  <si>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</si>
  <si>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</si>
  <si>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</si>
  <si>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</si>
  <si>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</si>
  <si>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</si>
  <si>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</si>
  <si>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</si>
  <si>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</si>
  <si>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</si>
  <si>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</si>
  <si>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</si>
  <si>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</si>
  <si>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</si>
  <si>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</si>
  <si>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</si>
  <si>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</si>
  <si>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</si>
  <si>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</si>
  <si>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</si>
  <si>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</si>
  <si>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</si>
  <si>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</si>
  <si>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</si>
  <si>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</si>
  <si>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</si>
  <si>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</si>
  <si>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</si>
  <si>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</si>
  <si>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</si>
  <si>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</si>
  <si>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</si>
  <si>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</si>
  <si>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</si>
  <si>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</si>
  <si>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</si>
  <si>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</si>
  <si>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</si>
  <si>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</si>
  <si>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</si>
  <si>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</si>
  <si>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</si>
  <si>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</si>
  <si>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</si>
  <si>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</si>
  <si>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</si>
  <si>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</si>
  <si>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</si>
  <si>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</si>
  <si>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</si>
  <si>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</si>
  <si>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</si>
  <si>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</si>
  <si>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</si>
  <si>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</si>
  <si>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</si>
  <si>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</si>
  <si>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</si>
  <si>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</si>
  <si>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</si>
  <si>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</si>
  <si>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</si>
  <si>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</si>
  <si>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</si>
  <si>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</si>
  <si>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</si>
  <si>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</si>
  <si>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</si>
  <si>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</si>
  <si>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</si>
  <si>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</si>
  <si>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</si>
  <si>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</si>
  <si>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</si>
  <si>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</si>
  <si>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</si>
  <si>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</si>
  <si>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</si>
  <si>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</si>
  <si>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</si>
  <si>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</si>
  <si>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</si>
  <si>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</si>
  <si>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</si>
  <si>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</si>
  <si>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</si>
  <si>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</si>
  <si>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</si>
  <si>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</si>
  <si>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</si>
  <si>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</si>
  <si>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</si>
  <si>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</si>
  <si>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</si>
  <si>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</si>
  <si>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</si>
  <si>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</si>
  <si>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</si>
  <si>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</si>
  <si>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</si>
  <si>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 E06000053</t>
  </si>
  <si>
    <t>Cornwall and Isles of Scilly</t>
  </si>
  <si>
    <t>E06000059</t>
  </si>
  <si>
    <t>Dorset</t>
  </si>
  <si>
    <t>E06000024</t>
  </si>
  <si>
    <t>North Somerset</t>
  </si>
  <si>
    <t>E06000026</t>
  </si>
  <si>
    <t>Plymouth</t>
  </si>
  <si>
    <t>E06000025</t>
  </si>
  <si>
    <t>South Gloucestershire</t>
  </si>
  <si>
    <t>E06000030</t>
  </si>
  <si>
    <t>Swindon</t>
  </si>
  <si>
    <t>E06000027</t>
  </si>
  <si>
    <t>Torbay</t>
  </si>
  <si>
    <t>E06000054</t>
  </si>
  <si>
    <t>Wiltshire</t>
  </si>
  <si>
    <t>E06000066</t>
  </si>
  <si>
    <t>Somerset</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</si>
  <si>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</si>
  <si>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</si>
  <si>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</si>
  <si>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</si>
  <si>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</si>
  <si>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</si>
  <si>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</si>
  <si>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</si>
  <si>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</si>
  <si>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</si>
  <si>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</si>
  <si>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</si>
  <si>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</si>
  <si>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</si>
  <si>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</si>
  <si>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</si>
  <si>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</si>
  <si>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</si>
  <si>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</si>
  <si>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</si>
  <si>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</si>
  <si>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</si>
  <si>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</si>
  <si>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</si>
  <si>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</si>
  <si>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</si>
  <si>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</si>
  <si>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</si>
  <si>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</si>
  <si>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</si>
  <si>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</si>
  <si>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</si>
  <si>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</si>
  <si>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</si>
  <si>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</si>
  <si>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</si>
  <si>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</si>
  <si>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</si>
  <si>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</si>
  <si>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</si>
  <si>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</si>
  <si>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</si>
  <si>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</si>
  <si>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</si>
  <si>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</si>
  <si>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</si>
  <si>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</si>
  <si>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</si>
  <si>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</si>
  <si>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</si>
  <si>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</si>
  <si>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</si>
  <si>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</si>
  <si>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</si>
  <si>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</si>
  <si>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</si>
  <si>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</si>
  <si>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</si>
  <si>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</si>
  <si>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</si>
  <si>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</si>
  <si>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</si>
  <si>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</si>
  <si>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</si>
  <si>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</si>
  <si>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</si>
  <si>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</si>
  <si>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</si>
  <si>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</si>
  <si>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</si>
  <si>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</si>
  <si>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</si>
  <si>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</si>
  <si>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</si>
  <si>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</si>
  <si>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</si>
  <si>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</si>
  <si>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</si>
  <si>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J99000001</t>
  </si>
  <si>
    <t>Table 6b: Live births where one or both parents are born outside the UK and area of usual residence, 2025</t>
  </si>
  <si>
    <t>[note 1][note 2][note 5][note 6][note 7][note 8][note 9][note 10][note 11]</t>
  </si>
  <si>
    <r>
      <t xml:space="preserve">Area of usual residence 
</t>
    </r>
    <r>
      <rPr>
        <sz val="12"/>
        <color rgb="FF000000"/>
        <rFont val="Arial"/>
        <family val="2"/>
      </rPr>
      <t>Geography</t>
    </r>
  </si>
  <si>
    <r>
      <t xml:space="preserve">Live births where one parent is born outside of the UK 
</t>
    </r>
    <r>
      <rPr>
        <sz val="12"/>
        <color rgb="FF000000"/>
        <rFont val="Arial"/>
        <family val="2"/>
      </rPr>
      <t>Number</t>
    </r>
  </si>
  <si>
    <r>
      <t xml:space="preserve">Live births where one parent is born outside of the UK 
</t>
    </r>
    <r>
      <rPr>
        <sz val="12"/>
        <color rgb="FF000000"/>
        <rFont val="Arial"/>
        <family val="2"/>
      </rPr>
      <t>Percentage of all live births</t>
    </r>
  </si>
  <si>
    <r>
      <t xml:space="preserve">Live births where both parents are born outside of the UK 
</t>
    </r>
    <r>
      <rPr>
        <sz val="12"/>
        <color rgb="FF000000"/>
        <rFont val="Arial"/>
        <family val="2"/>
      </rPr>
      <t>Number</t>
    </r>
  </si>
  <si>
    <r>
      <t xml:space="preserve">Live births where both parents are born outside of the UK 
</t>
    </r>
    <r>
      <rPr>
        <sz val="12"/>
        <color rgb="FF000000"/>
        <rFont val="Arial"/>
        <family val="2"/>
      </rPr>
      <t>Percentage of all live births</t>
    </r>
  </si>
  <si>
    <r>
      <t xml:space="preserve">Live births where either one or both parents are born outside of the UK 
</t>
    </r>
    <r>
      <rPr>
        <sz val="12"/>
        <color rgb="FF000000"/>
        <rFont val="Arial"/>
        <family val="2"/>
      </rPr>
      <t>Number</t>
    </r>
  </si>
  <si>
    <r>
      <t xml:space="preserve">Live births where either one or both parents are born outside of the UK 
</t>
    </r>
    <r>
      <rPr>
        <sz val="12"/>
        <color rgb="FF000000"/>
        <rFont val="Arial"/>
        <family val="2"/>
      </rPr>
      <t>Percentage of all live births</t>
    </r>
  </si>
  <si>
    <t>Table 7: Total Fertility Rate by country of birth of mother, 2001, 2011 and 2021</t>
  </si>
  <si>
    <t>[note 1][note 2][note 13][note 14][note 15]</t>
  </si>
  <si>
    <t>2001</t>
  </si>
  <si>
    <t>England</t>
  </si>
  <si>
    <t>[x]</t>
  </si>
  <si>
    <t>Wales</t>
  </si>
  <si>
    <t>England and Wales</t>
  </si>
  <si>
    <t>Scotland</t>
  </si>
  <si>
    <t>Northern Ireland</t>
  </si>
  <si>
    <t>Italy</t>
  </si>
  <si>
    <t>France</t>
  </si>
  <si>
    <t>Portugal</t>
  </si>
  <si>
    <t>Spain</t>
  </si>
  <si>
    <t>Greece</t>
  </si>
  <si>
    <t>Netherlands</t>
  </si>
  <si>
    <t>Sweden</t>
  </si>
  <si>
    <t>Bulgaria</t>
  </si>
  <si>
    <t>Slovakia</t>
  </si>
  <si>
    <t>Hungary</t>
  </si>
  <si>
    <t>Latvia</t>
  </si>
  <si>
    <t>Czechia</t>
  </si>
  <si>
    <t>Turkey</t>
  </si>
  <si>
    <t>Ukraine</t>
  </si>
  <si>
    <t>Russia</t>
  </si>
  <si>
    <t>South Sudan</t>
  </si>
  <si>
    <t>Sudan</t>
  </si>
  <si>
    <t>Morocco</t>
  </si>
  <si>
    <t>Algeria</t>
  </si>
  <si>
    <t>Egypt</t>
  </si>
  <si>
    <t>The Gambia</t>
  </si>
  <si>
    <t>Democratic Republic of the Congo</t>
  </si>
  <si>
    <t>Zimbabwe</t>
  </si>
  <si>
    <t>Eritrea</t>
  </si>
  <si>
    <t>Kenya</t>
  </si>
  <si>
    <t>Ethiopia</t>
  </si>
  <si>
    <t>Uganda</t>
  </si>
  <si>
    <t>USA</t>
  </si>
  <si>
    <t>Canada</t>
  </si>
  <si>
    <t>Brazil</t>
  </si>
  <si>
    <t>Colombia</t>
  </si>
  <si>
    <t>Jamacia</t>
  </si>
  <si>
    <t>Syria</t>
  </si>
  <si>
    <t>Iran</t>
  </si>
  <si>
    <t>Saudi Arabia</t>
  </si>
  <si>
    <t>Kuwait</t>
  </si>
  <si>
    <t>Israel</t>
  </si>
  <si>
    <t>Hong Kong</t>
  </si>
  <si>
    <t>Nepal</t>
  </si>
  <si>
    <t>Philippines</t>
  </si>
  <si>
    <t>Vietnam</t>
  </si>
  <si>
    <t>Thailand</t>
  </si>
  <si>
    <t>Malaysia</t>
  </si>
  <si>
    <t>Australia</t>
  </si>
  <si>
    <t>New Zealand</t>
  </si>
  <si>
    <t>Live births for the ten most common countries of birth of father for non-UK-born fathers, 2008 to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</si>
</sst>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
    <numFmt numFmtId="165" formatCode="0.0"/>
    <numFmt numFmtId="166" formatCode="_-* #,##0_-;\-* #,##0_-;_-* &quot;-&quot;??_-;_-@_-"/>
    <numFmt numFmtId="167" formatCode="_-* #,##0.0_-;\-* #,##0.0_-;_-* &quot;-&quot;??_-;_-@_-"/>
  </numFmts>
  <fonts count="13" x14ac:knownFonts="1">
    <font>
      <sz val="12"/>
      <color rgb="FF000000"/>
      <name val="Arial"/>
    </font>
    <font>
      <b/>
      <sz val="16"/>
      <color rgb="FF000000"/>
      <name val="Arial"/>
      <family val="2"/>
    </font>
    <font>
      <b/>
      <sz val="14"/>
      <color rgb="FF000000"/>
      <name val="Arial"/>
      <family val="2"/>
    </font>
    <font>
      <b/>
      <sz val="12"/>
      <color rgb="FF000000"/>
      <name val="Arial"/>
      <family val="2"/>
    </font>
    <font>
      <u/>
      <sz val="12"/>
      <color theme="10"/>
      <name val="Arial"/>
      <family val="2"/>
    </font>
    <font>
      <sz val="12"/>
      <color rgb="FF000000"/>
      <name val="Arial"/>
      <family val="2"/>
    </font>
    <font>
      <u/>
      <sz val="12"/>
      <color theme="10"/>
      <name val="Arial"/>
      <family val="2"/>
    </font>
    <font>
      <sz val="8"/>
      <name val="Arial"/>
      <family val="2"/>
    </font>
    <font>
      <sz val="12"/>
      <color rgb="FFFF0000"/>
      <name val="Arial"/>
      <family val="2"/>
    </font>
    <font>
      <b/>
      <sz val="15"/>
      <name val="Arial"/>
      <family val="2"/>
    </font>
    <font>
      <sz val="12"/>
      <name val="Arial"/>
      <family val="2"/>
    </font>
    <font>
      <b/>
      <sz val="12"/>
      <name val="Arial"/>
      <family val="2"/>
    </font>
    <font>
      <sz val="12"/>
      <color rgb="FF000000"/>
      <name val="Arial"/>
      <family val="2"/>
    </font>
  </fonts>
  <fills count="2">
    <fill>
      <patternFill patternType="none"/>
    </fill>
    <fill>
      <patternFill patternType="gray125"/>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indexed="64"/>
      </right>
      <top/>
      <bottom style="thin">
        <color rgb="FF000000"/>
      </bottom>
      <diagonal/>
    </border>
    <border>
      <left/>
      <right/>
      <top/>
      <bottom style="thin">
        <color rgb="FF000000"/>
      </bottom>
      <diagonal/>
    </border>
  </borders>
  <cellStyleXfs count="6">
    <xf numFmtId="0" fontId="0" fillId="0" borderId="0"/>
    <xf numFmtId="0" fontId="6" fillId="0" borderId="0" applyNumberFormat="0" applyFill="0" applyBorder="0" applyAlignment="0" applyProtection="0"/>
    <xf numFmtId="0" fontId="9" fillId="0" borderId="0" applyNumberFormat="0" applyFill="0" applyAlignment="0" applyProtection="0"/>
    <xf numFmtId="0" fontId="10" fillId="0" borderId="0">
      <alignment wrapText="1"/>
    </xf>
    <xf numFmtId="0" fontId="5" fillId="0" borderId="0"/>
    <xf numFmtId="43" fontId="12" fillId="0" borderId="0" applyFont="0" applyFill="0" applyBorder="0" applyAlignment="0" applyProtection="0"/>
  </cellStyleXfs>
  <cellXfs count="149">
    <xf numFmtId="0" fontId="0" fillId="0" borderId="0" xfId="0"/>
    <xf numFmtId="0" fontId="0" fillId="0" borderId="0" xfId="0" applyAlignment="1">
      <alignment horizontal="left" wrapText="1"/>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xf>
    <xf numFmtId="0" fontId="4" fillId="0" borderId="0" xfId="0" applyFont="1" applyAlignment="1">
      <alignment horizontal="left" wrapText="1"/>
    </xf>
    <xf numFmtId="0" fontId="1" fillId="0" borderId="0" xfId="0" applyFont="1" applyAlignment="1">
      <alignment horizontal="left"/>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0" borderId="2" xfId="0" applyBorder="1"/>
    <xf numFmtId="0" fontId="3" fillId="0" borderId="3" xfId="0" applyFont="1" applyBorder="1" applyAlignment="1">
      <alignment horizontal="left" vertical="top" wrapText="1"/>
    </xf>
    <xf numFmtId="0" fontId="3" fillId="0" borderId="1" xfId="0" applyFont="1" applyBorder="1" applyAlignment="1">
      <alignment horizontal="left" vertical="top" wrapText="1"/>
    </xf>
    <xf numFmtId="0" fontId="0" fillId="0" borderId="4" xfId="0" applyBorder="1"/>
    <xf numFmtId="3" fontId="0" fillId="0" borderId="5" xfId="0" applyNumberFormat="1" applyBorder="1"/>
    <xf numFmtId="3" fontId="0" fillId="0" borderId="6" xfId="0" applyNumberFormat="1" applyBorder="1"/>
    <xf numFmtId="0" fontId="0" fillId="0" borderId="5" xfId="0" applyBorder="1"/>
    <xf numFmtId="0" fontId="0" fillId="0" borderId="6" xfId="0" applyBorder="1"/>
    <xf numFmtId="164" fontId="0" fillId="0" borderId="5" xfId="0" applyNumberFormat="1" applyBorder="1"/>
    <xf numFmtId="164" fontId="0" fillId="0" borderId="6" xfId="0" applyNumberFormat="1" applyBorder="1"/>
    <xf numFmtId="0" fontId="5" fillId="0" borderId="0" xfId="0" applyFont="1" applyAlignment="1">
      <alignment horizontal="left" wrapText="1"/>
    </xf>
    <xf numFmtId="0" fontId="3" fillId="0" borderId="2" xfId="0" applyFont="1" applyBorder="1"/>
    <xf numFmtId="3" fontId="3" fillId="0" borderId="5" xfId="0" applyNumberFormat="1" applyFont="1" applyBorder="1"/>
    <xf numFmtId="0" fontId="3" fillId="0" borderId="0" xfId="0" applyFont="1"/>
    <xf numFmtId="0" fontId="3" fillId="0" borderId="4" xfId="0" applyFont="1" applyBorder="1"/>
    <xf numFmtId="3" fontId="3" fillId="0" borderId="6" xfId="0" applyNumberFormat="1" applyFont="1" applyBorder="1"/>
    <xf numFmtId="0" fontId="0" fillId="0" borderId="10" xfId="0" applyBorder="1"/>
    <xf numFmtId="0" fontId="0" fillId="0" borderId="9" xfId="0" applyBorder="1"/>
    <xf numFmtId="0" fontId="0" fillId="0" borderId="16" xfId="0" applyBorder="1" applyAlignment="1">
      <alignment horizontal="right"/>
    </xf>
    <xf numFmtId="0" fontId="0" fillId="0" borderId="0" xfId="0" applyAlignment="1">
      <alignment horizontal="right"/>
    </xf>
    <xf numFmtId="0" fontId="3" fillId="0" borderId="16" xfId="0" applyFont="1" applyBorder="1" applyAlignment="1">
      <alignment horizontal="right"/>
    </xf>
    <xf numFmtId="2" fontId="3" fillId="0" borderId="16" xfId="0" applyNumberFormat="1" applyFont="1" applyBorder="1" applyAlignment="1">
      <alignment horizontal="right"/>
    </xf>
    <xf numFmtId="2" fontId="0" fillId="0" borderId="16" xfId="0" applyNumberFormat="1" applyBorder="1" applyAlignment="1">
      <alignment horizontal="right"/>
    </xf>
    <xf numFmtId="0" fontId="3" fillId="0" borderId="17" xfId="0" applyFont="1" applyBorder="1" applyAlignment="1">
      <alignment horizontal="right"/>
    </xf>
    <xf numFmtId="0" fontId="3" fillId="0" borderId="13" xfId="0" applyFont="1" applyBorder="1"/>
    <xf numFmtId="0" fontId="6" fillId="0" borderId="1" xfId="1" applyBorder="1" applyAlignment="1">
      <alignment horizontal="left" vertical="center" wrapText="1"/>
    </xf>
    <xf numFmtId="0" fontId="5" fillId="0" borderId="1" xfId="0" applyFont="1" applyBorder="1" applyAlignment="1">
      <alignment horizontal="left" vertical="center" wrapText="1"/>
    </xf>
    <xf numFmtId="0" fontId="0" fillId="0" borderId="14" xfId="0" applyBorder="1" applyAlignment="1">
      <alignment wrapText="1"/>
    </xf>
    <xf numFmtId="0" fontId="3" fillId="0" borderId="8" xfId="0" applyFont="1" applyBorder="1" applyAlignment="1">
      <alignment horizontal="left" vertical="center" wrapText="1"/>
    </xf>
    <xf numFmtId="0" fontId="3" fillId="0" borderId="17" xfId="0" applyFont="1" applyBorder="1" applyAlignment="1">
      <alignment horizontal="left" vertical="center" wrapText="1"/>
    </xf>
    <xf numFmtId="0" fontId="3" fillId="0" borderId="12" xfId="0" applyFont="1"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9" xfId="0" applyBorder="1" applyAlignment="1">
      <alignment horizontal="left" vertical="center" wrapText="1"/>
    </xf>
    <xf numFmtId="0" fontId="4" fillId="0" borderId="9" xfId="0" applyFont="1" applyBorder="1" applyAlignment="1">
      <alignment horizontal="left" vertical="center" wrapText="1"/>
    </xf>
    <xf numFmtId="0" fontId="0" fillId="0" borderId="18" xfId="0" applyBorder="1" applyAlignment="1">
      <alignment wrapText="1"/>
    </xf>
    <xf numFmtId="0" fontId="10" fillId="0" borderId="0" xfId="3">
      <alignment wrapText="1"/>
    </xf>
    <xf numFmtId="0" fontId="9" fillId="0" borderId="0" xfId="2"/>
    <xf numFmtId="0" fontId="8" fillId="0" borderId="0" xfId="3" applyFont="1" applyAlignment="1"/>
    <xf numFmtId="0" fontId="10" fillId="0" borderId="0" xfId="3" applyAlignment="1"/>
    <xf numFmtId="0" fontId="10" fillId="0" borderId="0" xfId="3" applyAlignment="1">
      <alignment horizontal="left" wrapText="1"/>
    </xf>
    <xf numFmtId="0" fontId="11" fillId="0" borderId="0" xfId="3" applyFont="1">
      <alignment wrapText="1"/>
    </xf>
    <xf numFmtId="0" fontId="11" fillId="0" borderId="0" xfId="3" applyFont="1" applyAlignment="1">
      <alignment horizontal="left" wrapText="1"/>
    </xf>
    <xf numFmtId="0" fontId="4" fillId="0" borderId="1" xfId="1" applyFont="1" applyBorder="1" applyAlignment="1">
      <alignment horizontal="left" vertical="center" wrapText="1"/>
    </xf>
    <xf numFmtId="0" fontId="11" fillId="0" borderId="14" xfId="3" applyFont="1" applyBorder="1" applyAlignment="1">
      <alignment horizontal="left" vertical="top" wrapText="1"/>
    </xf>
    <xf numFmtId="0" fontId="10" fillId="0" borderId="14" xfId="3" applyBorder="1" applyAlignment="1">
      <alignment horizontal="left" vertical="top"/>
    </xf>
    <xf numFmtId="0" fontId="10" fillId="0" borderId="14" xfId="3" applyBorder="1" applyAlignment="1">
      <alignment horizontal="left" vertical="top" wrapText="1"/>
    </xf>
    <xf numFmtId="0" fontId="1" fillId="0" borderId="0" xfId="4" applyFont="1" applyAlignment="1">
      <alignment horizontal="left"/>
    </xf>
    <xf numFmtId="0" fontId="5" fillId="0" borderId="0" xfId="4"/>
    <xf numFmtId="0" fontId="3" fillId="0" borderId="1" xfId="4" applyFont="1" applyBorder="1" applyAlignment="1">
      <alignment horizontal="left" vertical="top" wrapText="1"/>
    </xf>
    <xf numFmtId="0" fontId="0" fillId="0" borderId="11" xfId="0" applyBorder="1"/>
    <xf numFmtId="0" fontId="0" fillId="0" borderId="8" xfId="0" applyBorder="1"/>
    <xf numFmtId="0" fontId="3" fillId="0" borderId="0" xfId="4" applyFont="1"/>
    <xf numFmtId="0" fontId="3" fillId="0" borderId="21" xfId="0" applyFont="1" applyBorder="1" applyAlignment="1">
      <alignment horizontal="right" wrapText="1"/>
    </xf>
    <xf numFmtId="0" fontId="3" fillId="0" borderId="22" xfId="0" applyFont="1" applyBorder="1" applyAlignment="1">
      <alignment horizontal="right" wrapText="1"/>
    </xf>
    <xf numFmtId="0" fontId="3" fillId="0" borderId="23" xfId="0" applyFont="1" applyBorder="1" applyAlignment="1">
      <alignment horizontal="right" wrapText="1"/>
    </xf>
    <xf numFmtId="0" fontId="5" fillId="0" borderId="21" xfId="0" applyFont="1" applyBorder="1" applyAlignment="1">
      <alignment horizontal="right" wrapText="1"/>
    </xf>
    <xf numFmtId="0" fontId="5" fillId="0" borderId="22" xfId="0" applyFont="1" applyBorder="1" applyAlignment="1">
      <alignment horizontal="right" wrapText="1"/>
    </xf>
    <xf numFmtId="0" fontId="5" fillId="0" borderId="23" xfId="0" applyFont="1" applyBorder="1" applyAlignment="1">
      <alignment horizontal="right" wrapText="1"/>
    </xf>
    <xf numFmtId="0" fontId="3" fillId="0" borderId="24" xfId="4" applyFont="1" applyBorder="1"/>
    <xf numFmtId="0" fontId="5" fillId="0" borderId="24" xfId="4" applyBorder="1"/>
    <xf numFmtId="0" fontId="5" fillId="0" borderId="25" xfId="4" applyBorder="1"/>
    <xf numFmtId="0" fontId="3" fillId="0" borderId="10" xfId="4" applyFont="1" applyBorder="1" applyAlignment="1">
      <alignment horizontal="right"/>
    </xf>
    <xf numFmtId="3" fontId="3" fillId="0" borderId="20" xfId="4" applyNumberFormat="1" applyFont="1" applyBorder="1" applyAlignment="1">
      <alignment horizontal="right"/>
    </xf>
    <xf numFmtId="0" fontId="3" fillId="0" borderId="15" xfId="4" applyFont="1" applyBorder="1" applyAlignment="1">
      <alignment horizontal="right"/>
    </xf>
    <xf numFmtId="0" fontId="3" fillId="0" borderId="20" xfId="4" applyFont="1" applyBorder="1" applyAlignment="1">
      <alignment horizontal="right"/>
    </xf>
    <xf numFmtId="0" fontId="5" fillId="0" borderId="11" xfId="4" applyBorder="1" applyAlignment="1">
      <alignment horizontal="right"/>
    </xf>
    <xf numFmtId="3" fontId="5" fillId="0" borderId="0" xfId="4" applyNumberFormat="1" applyAlignment="1">
      <alignment horizontal="right"/>
    </xf>
    <xf numFmtId="0" fontId="5" fillId="0" borderId="19" xfId="4" applyBorder="1" applyAlignment="1">
      <alignment horizontal="right"/>
    </xf>
    <xf numFmtId="0" fontId="5" fillId="0" borderId="0" xfId="4" applyAlignment="1">
      <alignment horizontal="right"/>
    </xf>
    <xf numFmtId="164" fontId="5" fillId="0" borderId="19" xfId="4" applyNumberFormat="1" applyBorder="1" applyAlignment="1">
      <alignment horizontal="right"/>
    </xf>
    <xf numFmtId="0" fontId="5" fillId="0" borderId="12" xfId="4" applyBorder="1" applyAlignment="1">
      <alignment horizontal="right"/>
    </xf>
    <xf numFmtId="3" fontId="5" fillId="0" borderId="13" xfId="4" applyNumberFormat="1" applyBorder="1" applyAlignment="1">
      <alignment horizontal="right"/>
    </xf>
    <xf numFmtId="164" fontId="5" fillId="0" borderId="8" xfId="4" applyNumberFormat="1" applyBorder="1" applyAlignment="1">
      <alignment horizontal="right"/>
    </xf>
    <xf numFmtId="0" fontId="5" fillId="0" borderId="8" xfId="4" applyBorder="1" applyAlignment="1">
      <alignment horizontal="right"/>
    </xf>
    <xf numFmtId="0" fontId="5" fillId="0" borderId="13" xfId="4" applyBorder="1" applyAlignment="1">
      <alignment horizontal="right"/>
    </xf>
    <xf numFmtId="0" fontId="3" fillId="0" borderId="3" xfId="0" applyFont="1" applyBorder="1" applyAlignment="1">
      <alignment horizontal="right" vertical="top" wrapText="1"/>
    </xf>
    <xf numFmtId="0" fontId="3" fillId="0" borderId="1" xfId="0" applyFont="1" applyBorder="1" applyAlignment="1">
      <alignment horizontal="left" wrapText="1"/>
    </xf>
    <xf numFmtId="0" fontId="3" fillId="0" borderId="3" xfId="0" applyFont="1" applyBorder="1" applyAlignment="1">
      <alignment horizontal="right" wrapText="1"/>
    </xf>
    <xf numFmtId="0" fontId="3" fillId="0" borderId="3" xfId="0" applyFont="1" applyBorder="1" applyAlignment="1">
      <alignment horizontal="left" wrapText="1"/>
    </xf>
    <xf numFmtId="0" fontId="3" fillId="0" borderId="26" xfId="0" applyFont="1" applyBorder="1" applyAlignment="1">
      <alignment horizontal="right" wrapText="1"/>
    </xf>
    <xf numFmtId="0" fontId="3" fillId="0" borderId="27" xfId="0" applyFont="1" applyBorder="1" applyAlignment="1">
      <alignment horizontal="right" wrapText="1"/>
    </xf>
    <xf numFmtId="164" fontId="3" fillId="0" borderId="5" xfId="0" applyNumberFormat="1" applyFont="1" applyBorder="1"/>
    <xf numFmtId="0" fontId="3" fillId="0" borderId="5" xfId="0" applyFont="1" applyBorder="1"/>
    <xf numFmtId="0" fontId="3" fillId="0" borderId="6" xfId="0" applyFont="1" applyBorder="1"/>
    <xf numFmtId="0" fontId="0" fillId="0" borderId="28" xfId="0" applyBorder="1"/>
    <xf numFmtId="0" fontId="5" fillId="0" borderId="8" xfId="0" applyFont="1" applyBorder="1"/>
    <xf numFmtId="3" fontId="0" fillId="0" borderId="5" xfId="0" applyNumberFormat="1" applyBorder="1" applyAlignment="1">
      <alignment horizontal="right"/>
    </xf>
    <xf numFmtId="164" fontId="0" fillId="0" borderId="5" xfId="0" applyNumberFormat="1" applyBorder="1" applyAlignment="1">
      <alignment horizontal="right"/>
    </xf>
    <xf numFmtId="3" fontId="0" fillId="0" borderId="6" xfId="0" applyNumberFormat="1" applyBorder="1" applyAlignment="1">
      <alignment horizontal="right"/>
    </xf>
    <xf numFmtId="164" fontId="0" fillId="0" borderId="6" xfId="0" applyNumberFormat="1" applyBorder="1" applyAlignment="1">
      <alignment horizontal="right"/>
    </xf>
    <xf numFmtId="3" fontId="3" fillId="0" borderId="5" xfId="0" applyNumberFormat="1" applyFont="1" applyBorder="1" applyAlignment="1">
      <alignment horizontal="right"/>
    </xf>
    <xf numFmtId="164" fontId="3" fillId="0" borderId="5" xfId="0" applyNumberFormat="1" applyFont="1" applyBorder="1" applyAlignment="1">
      <alignment horizontal="right"/>
    </xf>
    <xf numFmtId="165" fontId="5" fillId="0" borderId="19" xfId="4" applyNumberFormat="1" applyBorder="1" applyAlignment="1">
      <alignment horizontal="right"/>
    </xf>
    <xf numFmtId="3" fontId="3" fillId="0" borderId="24" xfId="0" applyNumberFormat="1" applyFont="1" applyBorder="1" applyAlignment="1">
      <alignment horizontal="right"/>
    </xf>
    <xf numFmtId="164" fontId="3" fillId="0" borderId="0" xfId="0" applyNumberFormat="1" applyFont="1" applyAlignment="1">
      <alignment horizontal="right"/>
    </xf>
    <xf numFmtId="166" fontId="11" fillId="0" borderId="10" xfId="5" applyNumberFormat="1" applyFont="1" applyBorder="1" applyAlignment="1">
      <alignment horizontal="right"/>
    </xf>
    <xf numFmtId="167" fontId="11" fillId="0" borderId="15" xfId="5" applyNumberFormat="1" applyFont="1" applyBorder="1" applyAlignment="1">
      <alignment horizontal="right"/>
    </xf>
    <xf numFmtId="3" fontId="11" fillId="0" borderId="20" xfId="0" applyNumberFormat="1" applyFont="1" applyBorder="1" applyAlignment="1">
      <alignment vertical="center" wrapText="1"/>
    </xf>
    <xf numFmtId="165" fontId="11" fillId="0" borderId="20" xfId="0" applyNumberFormat="1" applyFont="1" applyBorder="1" applyAlignment="1">
      <alignment horizontal="right" vertical="center" wrapText="1"/>
    </xf>
    <xf numFmtId="3" fontId="11" fillId="0" borderId="10" xfId="0" applyNumberFormat="1" applyFont="1" applyBorder="1" applyAlignment="1">
      <alignment wrapText="1"/>
    </xf>
    <xf numFmtId="165" fontId="11" fillId="0" borderId="15" xfId="0" applyNumberFormat="1" applyFont="1" applyBorder="1" applyAlignment="1">
      <alignment wrapText="1"/>
    </xf>
    <xf numFmtId="165" fontId="11" fillId="0" borderId="20" xfId="0" applyNumberFormat="1" applyFont="1" applyBorder="1" applyAlignment="1">
      <alignment horizontal="right"/>
    </xf>
    <xf numFmtId="165" fontId="11" fillId="0" borderId="15" xfId="0" applyNumberFormat="1" applyFont="1" applyBorder="1" applyAlignment="1">
      <alignment horizontal="right"/>
    </xf>
    <xf numFmtId="3" fontId="11" fillId="0" borderId="10" xfId="0" applyNumberFormat="1" applyFont="1" applyBorder="1" applyAlignment="1">
      <alignment horizontal="right"/>
    </xf>
    <xf numFmtId="3" fontId="0" fillId="0" borderId="24" xfId="0" applyNumberFormat="1" applyBorder="1" applyAlignment="1">
      <alignment horizontal="right"/>
    </xf>
    <xf numFmtId="166" fontId="0" fillId="0" borderId="11" xfId="5" applyNumberFormat="1" applyFont="1" applyBorder="1" applyAlignment="1">
      <alignment horizontal="right"/>
    </xf>
    <xf numFmtId="167" fontId="0" fillId="0" borderId="19" xfId="5" applyNumberFormat="1" applyFont="1" applyBorder="1" applyAlignment="1">
      <alignment horizontal="right"/>
    </xf>
    <xf numFmtId="3" fontId="0" fillId="0" borderId="0" xfId="0" applyNumberFormat="1" applyAlignment="1">
      <alignment vertical="center" wrapText="1"/>
    </xf>
    <xf numFmtId="0" fontId="0" fillId="0" borderId="0" xfId="0" applyAlignment="1">
      <alignment vertical="center" wrapText="1"/>
    </xf>
    <xf numFmtId="3" fontId="0" fillId="0" borderId="11" xfId="0" applyNumberFormat="1" applyBorder="1" applyAlignment="1">
      <alignment wrapText="1"/>
    </xf>
    <xf numFmtId="165" fontId="0" fillId="0" borderId="19" xfId="0" applyNumberFormat="1" applyBorder="1" applyAlignment="1">
      <alignment wrapText="1"/>
    </xf>
    <xf numFmtId="165" fontId="0" fillId="0" borderId="0" xfId="0" applyNumberFormat="1" applyAlignment="1">
      <alignment horizontal="right"/>
    </xf>
    <xf numFmtId="165" fontId="0" fillId="0" borderId="19" xfId="0" applyNumberFormat="1" applyBorder="1" applyAlignment="1">
      <alignment horizontal="right"/>
    </xf>
    <xf numFmtId="3" fontId="0" fillId="0" borderId="11" xfId="0" applyNumberFormat="1" applyBorder="1" applyAlignment="1">
      <alignment horizontal="right"/>
    </xf>
    <xf numFmtId="0" fontId="0" fillId="0" borderId="19" xfId="0" applyBorder="1" applyAlignment="1">
      <alignment wrapText="1"/>
    </xf>
    <xf numFmtId="0" fontId="0" fillId="0" borderId="19" xfId="0" applyBorder="1" applyAlignment="1">
      <alignment horizontal="right"/>
    </xf>
    <xf numFmtId="165" fontId="0" fillId="0" borderId="0" xfId="0" applyNumberFormat="1" applyAlignment="1">
      <alignment vertical="center" wrapText="1"/>
    </xf>
    <xf numFmtId="3" fontId="0" fillId="0" borderId="25" xfId="0" applyNumberFormat="1" applyBorder="1" applyAlignment="1">
      <alignment horizontal="right"/>
    </xf>
    <xf numFmtId="164" fontId="0" fillId="0" borderId="29" xfId="0" applyNumberFormat="1" applyBorder="1" applyAlignment="1">
      <alignment horizontal="right"/>
    </xf>
    <xf numFmtId="166" fontId="0" fillId="0" borderId="12" xfId="5" applyNumberFormat="1" applyFont="1" applyBorder="1" applyAlignment="1">
      <alignment horizontal="right"/>
    </xf>
    <xf numFmtId="0" fontId="0" fillId="0" borderId="8" xfId="0" applyBorder="1" applyAlignment="1">
      <alignment horizontal="right"/>
    </xf>
    <xf numFmtId="3" fontId="0" fillId="0" borderId="13" xfId="0" applyNumberFormat="1" applyBorder="1" applyAlignment="1">
      <alignment vertical="center" wrapText="1"/>
    </xf>
    <xf numFmtId="3" fontId="0" fillId="0" borderId="12" xfId="0" applyNumberFormat="1" applyBorder="1" applyAlignment="1">
      <alignment wrapText="1"/>
    </xf>
    <xf numFmtId="165" fontId="0" fillId="0" borderId="8" xfId="0" applyNumberFormat="1" applyBorder="1" applyAlignment="1">
      <alignment horizontal="right" wrapText="1"/>
    </xf>
    <xf numFmtId="3" fontId="0" fillId="0" borderId="12" xfId="0" applyNumberFormat="1" applyBorder="1" applyAlignment="1">
      <alignment horizontal="right"/>
    </xf>
    <xf numFmtId="3" fontId="3" fillId="0" borderId="21" xfId="0" applyNumberFormat="1" applyFont="1" applyBorder="1"/>
    <xf numFmtId="3" fontId="0" fillId="0" borderId="24" xfId="0" applyNumberFormat="1" applyBorder="1"/>
    <xf numFmtId="3" fontId="0" fillId="0" borderId="25" xfId="0" applyNumberFormat="1" applyBorder="1"/>
    <xf numFmtId="0" fontId="3" fillId="0" borderId="8" xfId="0" applyFont="1" applyBorder="1" applyAlignment="1">
      <alignment horizontal="right"/>
    </xf>
    <xf numFmtId="0" fontId="5" fillId="0" borderId="0" xfId="0" applyFont="1"/>
    <xf numFmtId="0" fontId="5" fillId="0" borderId="16" xfId="0" applyFont="1" applyBorder="1" applyAlignment="1">
      <alignment horizontal="right"/>
    </xf>
    <xf numFmtId="0" fontId="3" fillId="0" borderId="14" xfId="0" applyFont="1" applyBorder="1" applyAlignment="1">
      <alignment horizontal="right"/>
    </xf>
    <xf numFmtId="2" fontId="5" fillId="0" borderId="16" xfId="0" applyNumberFormat="1" applyFont="1" applyBorder="1" applyAlignment="1">
      <alignment horizontal="right"/>
    </xf>
    <xf numFmtId="0" fontId="3" fillId="0" borderId="19" xfId="0" applyFont="1" applyBorder="1" applyAlignment="1">
      <alignment horizontal="right"/>
    </xf>
    <xf numFmtId="2" fontId="0" fillId="0" borderId="19" xfId="0" applyNumberFormat="1" applyBorder="1" applyAlignment="1">
      <alignment horizontal="right"/>
    </xf>
    <xf numFmtId="2" fontId="3" fillId="0" borderId="19" xfId="0" applyNumberFormat="1" applyFont="1" applyBorder="1" applyAlignment="1">
      <alignment horizontal="right"/>
    </xf>
    <xf numFmtId="0" fontId="5" fillId="0" borderId="19" xfId="0" applyFont="1" applyBorder="1" applyAlignment="1">
      <alignment horizontal="right"/>
    </xf>
    <xf numFmtId="0" fontId="6" fillId="0" borderId="0" xfId="1" applyAlignment="1">
      <alignment horizontal="left" wrapText="1"/>
    </xf>
  </cellXfs>
  <cellStyles count="6">
    <cellStyle name="Comma" xfId="5" builtinId="3"/>
    <cellStyle name="Heading 1 2" xfId="2" xr:uid="{DA9CF24D-FDCE-448D-A125-7F4E734A267E}"/>
    <cellStyle name="Hyperlink" xfId="1" builtinId="8"/>
    <cellStyle name="Normal" xfId="0" builtinId="0"/>
    <cellStyle name="Normal 2" xfId="3" xr:uid="{0132CAC0-8889-4DC6-8A21-DC22BA8392FF}"/>
    <cellStyle name="Normal 3" xfId="4" xr:uid="{FD307FFE-C02F-4A8D-B5D0-0D5487D410FA}"/>
  </cellStyles>
  <dxfs count="188">
    <dxf>
      <font>
        <b/>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border diagonalUp="0" diagonalDown="0">
        <left style="thin">
          <color indexed="64"/>
        </left>
        <right style="thin">
          <color indexed="64"/>
        </right>
        <vertical/>
      </border>
    </dxf>
    <dxf>
      <font>
        <b/>
        <i val="0"/>
        <strike val="0"/>
        <condense val="0"/>
        <extend val="0"/>
        <outline val="0"/>
        <shadow val="0"/>
        <u val="none"/>
        <vertAlign val="baseline"/>
        <sz val="12"/>
        <color rgb="FF000000"/>
        <name val="Arial"/>
        <family val="2"/>
        <scheme val="none"/>
      </font>
      <border diagonalUp="0" diagonalDown="0">
        <left style="thin">
          <color indexed="64"/>
        </left>
        <right style="thin">
          <color indexed="64"/>
        </right>
        <vertical/>
      </border>
    </dxf>
    <dxf>
      <font>
        <b/>
        <i val="0"/>
        <strike val="0"/>
        <condense val="0"/>
        <extend val="0"/>
        <outline val="0"/>
        <shadow val="0"/>
        <u val="none"/>
        <vertAlign val="baseline"/>
        <sz val="12"/>
        <color rgb="FF000000"/>
        <name val="Arial"/>
        <family val="2"/>
        <scheme val="none"/>
      </font>
    </dxf>
    <dxf>
      <border outline="0">
        <left style="thin">
          <color indexed="64"/>
        </left>
        <right style="thin">
          <color indexed="64"/>
        </right>
        <top style="thin">
          <color indexed="64"/>
        </top>
        <bottom style="thin">
          <color indexed="64"/>
        </bottom>
      </border>
    </dxf>
    <dxf>
      <border outline="0">
        <bottom style="thin">
          <color indexed="64"/>
        </bottom>
      </border>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border diagonalUp="0" diagonalDown="0">
        <left/>
        <right style="thin">
          <color rgb="FF000000"/>
        </right>
        <top/>
        <bottom/>
        <vertical/>
        <horizontal/>
      </border>
    </dxf>
    <dxf>
      <border diagonalUp="0" diagonalDown="0">
        <left/>
        <right style="thin">
          <color rgb="FF000000"/>
        </right>
        <top/>
        <bottom/>
        <vertical/>
        <horizontal/>
      </border>
    </dxf>
    <dxf>
      <border diagonalUp="0" diagonalDown="0">
        <left/>
        <right style="thin">
          <color rgb="FF000000"/>
        </right>
        <top/>
        <bottom/>
        <vertical/>
        <horizontal/>
      </border>
    </dxf>
    <dxf>
      <alignment horizontal="right" vertical="bottom" textRotation="0" wrapText="1" indent="0" justifyLastLine="0" shrinkToFit="0" readingOrder="0"/>
    </dxf>
    <dxf>
      <numFmt numFmtId="165" formatCode="0.0"/>
      <alignment horizontal="general" vertical="bottom" textRotation="0" wrapText="1" indent="0" justifyLastLine="0" shrinkToFit="0" readingOrder="0"/>
      <border diagonalUp="0" diagonalDown="0">
        <left/>
        <right style="thin">
          <color indexed="64"/>
        </right>
        <top/>
        <bottom/>
        <vertical/>
        <horizontal/>
      </border>
    </dxf>
    <dxf>
      <numFmt numFmtId="3" formatCode="#,##0"/>
      <alignment horizontal="general" vertical="bottom" textRotation="0" wrapText="1" indent="0" justifyLastLine="0" shrinkToFit="0" readingOrder="0"/>
      <border diagonalUp="0" diagonalDown="0">
        <left style="thin">
          <color indexed="64"/>
        </left>
        <right/>
        <top/>
        <bottom/>
        <vertical/>
        <horizontal/>
      </border>
    </dxf>
    <dxf>
      <numFmt numFmtId="165" formatCode="0.0"/>
      <alignment horizontal="general" vertical="bottom" textRotation="0" wrapText="1" indent="0" justifyLastLine="0" shrinkToFit="0" readingOrder="0"/>
      <border diagonalUp="0" diagonalDown="0">
        <left/>
        <right style="thin">
          <color indexed="64"/>
        </right>
        <top/>
        <bottom/>
        <vertical/>
        <horizontal/>
      </border>
    </dxf>
    <dxf>
      <numFmt numFmtId="3" formatCode="#,##0"/>
      <alignment horizontal="general" vertical="bottom" textRotation="0" wrapText="1" indent="0" justifyLastLine="0" shrinkToFit="0" readingOrder="0"/>
      <border diagonalUp="0" diagonalDown="0">
        <left style="thin">
          <color indexed="64"/>
        </left>
        <right/>
        <top/>
        <bottom/>
        <vertical/>
        <horizontal/>
      </border>
    </dxf>
    <dxf>
      <numFmt numFmtId="165" formatCode="0.0"/>
      <alignment horizontal="general" vertical="bottom" textRotation="0" wrapText="1" indent="0" justifyLastLine="0" shrinkToFit="0" readingOrder="0"/>
      <border diagonalUp="0" diagonalDown="0">
        <left/>
        <right style="thin">
          <color indexed="64"/>
        </right>
        <top/>
        <bottom/>
        <vertical/>
        <horizontal/>
      </border>
    </dxf>
    <dxf>
      <numFmt numFmtId="3" formatCode="#,##0"/>
      <alignment horizontal="general" vertical="bottom" textRotation="0" wrapText="1" indent="0" justifyLastLine="0" shrinkToFit="0" readingOrder="0"/>
      <border diagonalUp="0" diagonalDown="0">
        <left style="thin">
          <color indexed="64"/>
        </left>
        <right/>
        <top/>
        <bottom/>
        <vertical/>
        <horizontal/>
      </border>
    </dxf>
    <dxf>
      <numFmt numFmtId="165" formatCode="0.0"/>
      <alignment horizontal="right" vertical="bottom" textRotation="0" wrapText="0" indent="0" justifyLastLine="0" shrinkToFit="0" readingOrder="0"/>
      <border diagonalUp="0" diagonalDown="0">
        <left/>
        <right style="thin">
          <color indexed="64"/>
        </right>
        <top/>
        <bottom/>
        <vertical/>
        <horizontal/>
      </border>
    </dxf>
    <dxf>
      <numFmt numFmtId="3" formatCode="#,##0"/>
      <alignment horizontal="right" vertical="bottom" textRotation="0" wrapText="0" indent="0" justifyLastLine="0" shrinkToFit="0" readingOrder="0"/>
      <border diagonalUp="0" diagonalDown="0">
        <left style="thin">
          <color indexed="64"/>
        </left>
        <right/>
        <top/>
        <bottom/>
        <vertical/>
        <horizontal/>
      </border>
    </dxf>
    <dxf>
      <alignment horizontal="right" vertical="bottom" textRotation="0" wrapText="0" indent="0" justifyLastLine="0" shrinkToFit="0" readingOrder="0"/>
      <border diagonalUp="0" diagonalDown="0">
        <left/>
        <right style="thin">
          <color indexed="64"/>
        </right>
        <top/>
        <bottom/>
        <vertical/>
        <horizontal/>
      </border>
    </dxf>
    <dxf>
      <numFmt numFmtId="3" formatCode="#,##0"/>
      <alignment horizontal="right" vertical="bottom" textRotation="0" wrapText="0" indent="0" justifyLastLine="0" shrinkToFit="0" readingOrder="0"/>
      <border diagonalUp="0" diagonalDown="0">
        <left style="thin">
          <color indexed="64"/>
        </left>
        <right/>
        <top/>
        <bottom/>
        <vertical/>
        <horizontal/>
      </border>
    </dxf>
    <dxf>
      <alignment horizontal="right" vertical="bottom" textRotation="0" wrapText="0" indent="0" justifyLastLine="0" shrinkToFit="0" readingOrder="0"/>
      <border diagonalUp="0" diagonalDown="0">
        <left/>
        <right style="thin">
          <color indexed="64"/>
        </right>
        <top/>
        <bottom/>
        <vertical/>
        <horizontal/>
      </border>
    </dxf>
    <dxf>
      <numFmt numFmtId="3" formatCode="#,##0"/>
      <alignment horizontal="right" vertical="bottom" textRotation="0" wrapText="0" indent="0" justifyLastLine="0" shrinkToFit="0" readingOrder="0"/>
      <border diagonalUp="0" diagonalDown="0">
        <left style="thin">
          <color indexed="64"/>
        </left>
        <right/>
        <top/>
        <bottom/>
        <vertical/>
        <horizontal/>
      </border>
    </dxf>
    <dxf>
      <alignment horizontal="right" vertical="bottom" textRotation="0" wrapText="0" indent="0" justifyLastLine="0" shrinkToFit="0" readingOrder="0"/>
      <border diagonalUp="0" diagonalDown="0">
        <left/>
        <right style="thin">
          <color indexed="64"/>
        </right>
        <top/>
        <bottom/>
        <vertical/>
        <horizontal/>
      </border>
    </dxf>
    <dxf>
      <numFmt numFmtId="3" formatCode="#,##0"/>
      <alignment horizontal="right" vertical="bottom" textRotation="0" wrapText="0" indent="0" justifyLastLine="0" shrinkToFit="0" readingOrder="0"/>
      <border diagonalUp="0" diagonalDown="0">
        <left style="thin">
          <color indexed="64"/>
        </left>
        <right/>
        <top/>
        <bottom/>
        <vertical/>
        <horizontal/>
      </border>
    </dxf>
    <dxf>
      <alignment horizontal="general" vertical="bottom" textRotation="0" wrapText="1" indent="0" justifyLastLine="0" shrinkToFit="0" readingOrder="0"/>
      <border diagonalUp="0" diagonalDown="0">
        <left/>
        <right style="thin">
          <color indexed="64"/>
        </right>
        <top/>
        <bottom/>
        <vertical/>
        <horizontal/>
      </border>
    </dxf>
    <dxf>
      <numFmt numFmtId="3" formatCode="#,##0"/>
      <alignment horizontal="general" vertical="bottom" textRotation="0" wrapText="1" indent="0" justifyLastLine="0" shrinkToFit="0" readingOrder="0"/>
      <border diagonalUp="0" diagonalDown="0">
        <left style="thin">
          <color indexed="64"/>
        </left>
        <right/>
        <top/>
        <bottom/>
        <vertical/>
        <horizontal/>
      </border>
    </dxf>
    <dxf>
      <numFmt numFmtId="165" formatCode="0.0"/>
      <alignment horizontal="general" vertical="bottom" textRotation="0" wrapText="1" indent="0" justifyLastLine="0" shrinkToFit="0" readingOrder="0"/>
      <border diagonalUp="0" diagonalDown="0">
        <left/>
        <right style="thin">
          <color indexed="64"/>
        </right>
        <top/>
        <bottom/>
        <vertical/>
        <horizontal/>
      </border>
    </dxf>
    <dxf>
      <numFmt numFmtId="3" formatCode="#,##0"/>
      <alignment horizontal="general" vertical="bottom" textRotation="0" wrapText="1" indent="0" justifyLastLine="0" shrinkToFit="0" readingOrder="0"/>
      <border diagonalUp="0" diagonalDown="0">
        <left style="thin">
          <color indexed="64"/>
        </left>
        <right/>
        <top/>
        <bottom/>
        <vertical/>
        <horizontal/>
      </border>
    </dxf>
    <dxf>
      <numFmt numFmtId="165" formatCode="0.0"/>
      <alignment horizontal="right" vertical="bottom" textRotation="0" wrapText="0" indent="0" justifyLastLine="0" shrinkToFit="0" readingOrder="0"/>
      <border diagonalUp="0" diagonalDown="0">
        <left/>
        <right style="thin">
          <color indexed="64"/>
        </right>
        <top/>
        <bottom/>
        <vertical/>
        <horizontal/>
      </border>
    </dxf>
    <dxf>
      <numFmt numFmtId="3" formatCode="#,##0"/>
      <alignment horizontal="right" vertical="bottom" textRotation="0" wrapText="0" indent="0" justifyLastLine="0" shrinkToFit="0" readingOrder="0"/>
      <border diagonalUp="0" diagonalDown="0">
        <left style="thin">
          <color indexed="64"/>
        </left>
        <right/>
        <top/>
        <bottom/>
        <vertical/>
        <horizontal/>
      </border>
    </dxf>
    <dxf>
      <numFmt numFmtId="165" formatCode="0.0"/>
      <alignment horizontal="right" vertical="bottom" textRotation="0" wrapText="0" indent="0" justifyLastLine="0" shrinkToFit="0" readingOrder="0"/>
      <border diagonalUp="0" diagonalDown="0">
        <left/>
        <right style="thin">
          <color indexed="64"/>
        </right>
        <top/>
        <bottom/>
        <vertical/>
        <horizontal/>
      </border>
    </dxf>
    <dxf>
      <numFmt numFmtId="3" formatCode="#,##0"/>
      <alignment horizontal="general" vertical="bottom" textRotation="0" wrapText="1" indent="0" justifyLastLine="0" shrinkToFit="0" readingOrder="0"/>
      <border diagonalUp="0" diagonalDown="0">
        <left style="thin">
          <color indexed="64"/>
        </left>
        <right/>
        <top/>
        <bottom/>
        <vertical/>
        <horizontal/>
      </border>
    </dxf>
    <dxf>
      <numFmt numFmtId="165" formatCode="0.0"/>
      <alignment horizontal="right" vertical="bottom" textRotation="0" wrapText="0" indent="0" justifyLastLine="0" shrinkToFit="0" readingOrder="0"/>
    </dxf>
    <dxf>
      <numFmt numFmtId="3" formatCode="#,##0"/>
      <alignment horizontal="general" vertical="bottom" textRotation="0" wrapText="1" indent="0" justifyLastLine="0" shrinkToFit="0" readingOrder="0"/>
      <border diagonalUp="0" diagonalDown="0">
        <left style="thin">
          <color indexed="64"/>
        </left>
        <right/>
        <top/>
        <bottom/>
        <vertical/>
        <horizontal/>
      </border>
    </dxf>
    <dxf>
      <numFmt numFmtId="165" formatCode="0.0"/>
      <alignment horizontal="general" vertical="bottom" textRotation="0" wrapText="1" indent="0" justifyLastLine="0" shrinkToFit="0" readingOrder="0"/>
      <border diagonalUp="0" diagonalDown="0">
        <left/>
        <right style="thin">
          <color indexed="64"/>
        </right>
        <top/>
        <bottom/>
        <vertical/>
        <horizontal/>
      </border>
    </dxf>
    <dxf>
      <numFmt numFmtId="3" formatCode="#,##0"/>
      <alignment horizontal="general" vertical="bottom" textRotation="0" wrapText="1" indent="0" justifyLastLine="0" shrinkToFit="0" readingOrder="0"/>
      <border diagonalUp="0" diagonalDown="0">
        <left style="thin">
          <color indexed="64"/>
        </left>
        <right/>
        <top/>
        <bottom/>
        <vertical/>
        <horizontal/>
      </border>
    </dxf>
    <dxf>
      <numFmt numFmtId="165" formatCode="0.0"/>
      <alignment horizontal="general" vertical="bottom" textRotation="0" wrapText="1" indent="0" justifyLastLine="0" shrinkToFit="0" readingOrder="0"/>
      <border diagonalUp="0" diagonalDown="0">
        <left/>
        <right style="thin">
          <color indexed="64"/>
        </right>
        <top/>
        <bottom/>
        <vertical/>
        <horizontal/>
      </border>
    </dxf>
    <dxf>
      <numFmt numFmtId="3" formatCode="#,##0"/>
      <alignment horizontal="general" vertical="bottom" textRotation="0" wrapText="1" indent="0" justifyLastLine="0" shrinkToFit="0" readingOrder="0"/>
      <border diagonalUp="0" diagonalDown="0">
        <left style="thin">
          <color indexed="64"/>
        </left>
        <right/>
        <top/>
        <bottom/>
        <vertical/>
        <horizontal/>
      </border>
    </dxf>
    <dxf>
      <alignment horizontal="general" vertical="center" textRotation="0" wrapText="1" indent="0" justifyLastLine="0" shrinkToFit="0" readingOrder="0"/>
    </dxf>
    <dxf>
      <numFmt numFmtId="3" formatCode="#,##0"/>
      <alignment horizontal="general" vertical="center" textRotation="0" wrapText="1" indent="0" justifyLastLine="0" shrinkToFit="0" readingOrder="0"/>
    </dxf>
    <dxf>
      <font>
        <b val="0"/>
        <i val="0"/>
        <strike val="0"/>
        <condense val="0"/>
        <extend val="0"/>
        <outline val="0"/>
        <shadow val="0"/>
        <u val="none"/>
        <vertAlign val="baseline"/>
        <sz val="12"/>
        <color rgb="FF000000"/>
        <name val="Arial"/>
        <scheme val="none"/>
      </font>
      <numFmt numFmtId="167" formatCode="_-* #,##0.0_-;\-* #,##0.0_-;_-* &quot;-&quot;??_-;_-@_-"/>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scheme val="none"/>
      </font>
      <numFmt numFmtId="166" formatCode="_-* #,##0_-;\-* #,##0_-;_-* &quot;-&quot;??_-;_-@_-"/>
      <alignment horizontal="right" vertical="bottom" textRotation="0" wrapText="0" indent="0" justifyLastLine="0" shrinkToFit="0" readingOrder="0"/>
      <border diagonalUp="0" diagonalDown="0">
        <left style="thin">
          <color indexed="64"/>
        </left>
        <right/>
        <top/>
        <bottom/>
        <vertical/>
        <horizontal/>
      </border>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rgb="FF000000"/>
        </left>
        <right/>
        <top/>
        <bottom/>
        <vertical/>
        <horizontal/>
      </border>
    </dxf>
    <dxf>
      <border diagonalUp="0" diagonalDown="0">
        <left style="thin">
          <color rgb="FF000000"/>
        </left>
        <right/>
        <top/>
        <bottom/>
        <vertical/>
        <horizontal/>
      </border>
    </dxf>
    <dxf>
      <alignment horizontal="right" vertical="bottom" textRotation="0" indent="0" justifyLastLine="0" shrinkToFit="0" readingOrder="0"/>
    </dxf>
    <dxf>
      <alignment vertical="bottom" textRotation="0" wrapText="1" indent="0" justifyLastLine="0" shrinkToFit="0" readingOrder="0"/>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alignment horizontal="right" vertical="bottom" textRotation="0" indent="0" justifyLastLine="0" shrinkToFit="0" readingOrder="0"/>
      <border diagonalUp="0" diagonalDown="0" outline="0">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border diagonalUp="0" diagonalDown="0" outline="0">
        <left style="thin">
          <color indexed="64"/>
        </left>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1" indent="0" justifyLastLine="0" shrinkToFit="0" readingOrder="0"/>
      <border outline="0">
        <left style="thin">
          <color indexed="64"/>
        </left>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border outline="0">
        <right style="thin">
          <color indexed="64"/>
        </right>
      </border>
    </dxf>
    <dxf>
      <fill>
        <patternFill patternType="none">
          <fgColor indexed="64"/>
          <bgColor auto="1"/>
        </patternFill>
      </fill>
      <alignment horizontal="left" vertical="top" textRotation="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Table Style 3" pivot="0" count="0" xr9:uid="{3FCC9E6C-A643-4F14-8BA2-C623F65BAFE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B15" totalsRowShown="0">
  <tableColumns count="2">
    <tableColumn id="1" xr3:uid="{00000000-0010-0000-0000-000001000000}" name="Worksheet title"/>
    <tableColumn id="2" xr3:uid="{00000000-0010-0000-0000-000002000000}" name="Worksheet description"/>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F8C32A0-31FE-4B79-B432-CF0B1FBA5CEF}" name="Country_code" displayName="Country_code" ref="A3:C28" totalsRowShown="0" headerRowDxfId="187" dataDxfId="185" headerRowBorderDxfId="186">
  <autoFilter ref="A3:C28" xr:uid="{59BFC29E-87C6-4E4A-ADED-D1A326DD4E74}">
    <filterColumn colId="0" hiddenButton="1"/>
    <filterColumn colId="1" hiddenButton="1"/>
    <filterColumn colId="2" hiddenButton="1"/>
  </autoFilter>
  <tableColumns count="3">
    <tableColumn id="1" xr3:uid="{2FD622CC-0C4B-4865-8F55-D55838107A12}" name="Country grouping" dataDxfId="184"/>
    <tableColumn id="3" xr3:uid="{50ECBDEC-169B-4B3A-9253-30940CD4A444}" name="Countries included before 2007" dataDxfId="183" dataCellStyle="Normal 2"/>
    <tableColumn id="2" xr3:uid="{C697745C-9248-42B4-9B62-1DE0C910C218}" name="Countries included after 2007" dataDxfId="182"/>
  </tableColumns>
  <tableStyleInfo name="Table Style 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3:C18" totalsRowShown="0" headerRowDxfId="181" headerRowBorderDxfId="180" tableBorderDxfId="179" totalsRowBorderDxfId="178">
  <tableColumns count="3">
    <tableColumn id="1" xr3:uid="{00000000-0010-0000-0100-000001000000}" name="Note number" dataDxfId="177"/>
    <tableColumn id="2" xr3:uid="{00000000-0010-0000-0100-000002000000}" name="Note text" dataDxfId="176"/>
    <tableColumn id="3" xr3:uid="{00000000-0010-0000-0100-000003000000}" name="Related links" dataDxfId="175"/>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1" displayName="table_1" ref="A6:S38" totalsRowShown="0">
  <tableColumns count="19">
    <tableColumn id="1" xr3:uid="{00000000-0010-0000-0200-000001000000}" name="Country of birth of mother"/>
    <tableColumn id="2" xr3:uid="{00000000-0010-0000-0200-000002000000}" name="2025"/>
    <tableColumn id="3" xr3:uid="{00000000-0010-0000-0200-000003000000}" name="2024"/>
    <tableColumn id="4" xr3:uid="{00000000-0010-0000-0200-000004000000}" name="2023"/>
    <tableColumn id="5" xr3:uid="{00000000-0010-0000-0200-000005000000}" name="2022"/>
    <tableColumn id="6" xr3:uid="{00000000-0010-0000-0200-000006000000}" name="2021"/>
    <tableColumn id="7" xr3:uid="{00000000-0010-0000-0200-000007000000}" name="2020"/>
    <tableColumn id="8" xr3:uid="{00000000-0010-0000-0200-000008000000}" name="2019"/>
    <tableColumn id="9" xr3:uid="{00000000-0010-0000-0200-000009000000}" name="2018"/>
    <tableColumn id="10" xr3:uid="{00000000-0010-0000-0200-00000A000000}" name="2017"/>
    <tableColumn id="11" xr3:uid="{00000000-0010-0000-0200-00000B000000}" name="2016"/>
    <tableColumn id="12" xr3:uid="{00000000-0010-0000-0200-00000C000000}" name="2015"/>
    <tableColumn id="13" xr3:uid="{00000000-0010-0000-0200-00000D000000}" name="2014"/>
    <tableColumn id="14" xr3:uid="{00000000-0010-0000-0200-00000E000000}" name="2013"/>
    <tableColumn id="15" xr3:uid="{00000000-0010-0000-0200-00000F000000}" name="2012"/>
    <tableColumn id="16" xr3:uid="{00000000-0010-0000-0200-000010000000}" name="2011"/>
    <tableColumn id="17" xr3:uid="{00000000-0010-0000-0200-000011000000}" name="2010"/>
    <tableColumn id="18" xr3:uid="{00000000-0010-0000-0200-000012000000}" name="2009"/>
    <tableColumn id="19" xr3:uid="{00000000-0010-0000-0200-000013000000}" name="2008"/>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F0BA3D-2ADF-4FB3-A04D-E8EBA08EC18C}" name="table_2a" displayName="table_2a" ref="A6:BR26" totalsRowShown="0">
  <tableColumns count="70">
    <tableColumn id="1" xr3:uid="{9C295371-6032-44C2-906B-836853C1551E}" name="Country of birth of mother"/>
    <tableColumn id="2" xr3:uid="{B67C49D6-BBD4-42F9-8743-11EF9F1026C6}" name="2025 Rank" dataDxfId="174"/>
    <tableColumn id="3" xr3:uid="{4E6E4A35-0CAC-4DFB-B20E-6C31EC648CCD}" name="2025 Number" dataDxfId="173"/>
    <tableColumn id="4" xr3:uid="{01D22BCB-9EC7-4C84-A919-CF5753D85438}" name="2025 Percentage of all live births" dataDxfId="172"/>
    <tableColumn id="5" xr3:uid="{976521AA-6735-4997-A002-5F386A9AA4FC}" name="2024 _x000a_Rank" dataDxfId="171"/>
    <tableColumn id="6" xr3:uid="{96FA8353-4C25-49A2-BFE9-75F94047FB67}" name="2024 _x000a_Number" dataDxfId="170"/>
    <tableColumn id="7" xr3:uid="{B55C958B-13AE-4BFC-A465-49AFCBF00E36}" name="2024 _x000a_Percentage of all live births" dataDxfId="169"/>
    <tableColumn id="8" xr3:uid="{8ACAC566-7C31-4E4D-8769-BC38B0FCBEEE}" name="2023 Rank" dataDxfId="168"/>
    <tableColumn id="9" xr3:uid="{918E0A70-B6D6-4537-996D-82623F036C18}" name="2023 Number" dataDxfId="167"/>
    <tableColumn id="10" xr3:uid="{949D566B-6CEA-404C-BB7A-40297358008E}" name="2023 Percentage of all live births" dataDxfId="166"/>
    <tableColumn id="11" xr3:uid="{C707DE71-1910-49AA-8DB2-87925BA175CA}" name="2022 Rank" dataDxfId="165"/>
    <tableColumn id="12" xr3:uid="{D421967E-BEF5-4B7F-B6C6-E7FE4F97BBA4}" name="2022 Number" dataDxfId="164"/>
    <tableColumn id="13" xr3:uid="{417F6E60-546D-414F-A9E5-335009E7E5EE}" name="2022 Percentage of all live births" dataDxfId="163"/>
    <tableColumn id="14" xr3:uid="{46EB237B-0813-4DA5-989E-DB42643E2637}" name="2021 Rank" dataDxfId="162"/>
    <tableColumn id="15" xr3:uid="{CD736349-5F8E-408D-82AC-603210C5B400}" name="2021 Number" dataDxfId="161"/>
    <tableColumn id="16" xr3:uid="{1DFC00F6-6F4D-4974-A3C7-9E3E2DD9F6CC}" name="2021 Percentage of all live births" dataDxfId="160"/>
    <tableColumn id="17" xr3:uid="{F0B250FF-26E6-4B24-A4CB-4725E6D7D239}" name="2020 Rank" dataDxfId="159"/>
    <tableColumn id="18" xr3:uid="{40B8D139-9C89-474E-8B8B-CBF96D1E1783}" name="2020 Number" dataDxfId="158"/>
    <tableColumn id="19" xr3:uid="{55EACA12-2042-4D9F-B45D-04BB5B5EADAB}" name="2020 Percentage of all live births" dataDxfId="157"/>
    <tableColumn id="20" xr3:uid="{B69F08D6-1D4E-4742-90D4-BEEAB32A68F9}" name="2019 Rank" dataDxfId="156"/>
    <tableColumn id="21" xr3:uid="{3DAD5939-43CA-4CBA-B099-87E4D79DE08D}" name="2019 Number" dataDxfId="155"/>
    <tableColumn id="22" xr3:uid="{9DD61219-3498-4EE5-A0F3-39D42A129F6F}" name="2019 Percentage of all live births" dataDxfId="154"/>
    <tableColumn id="23" xr3:uid="{49EE7DB6-AD1A-449E-9F35-9B18BC089B4A}" name="2018 Rank" dataDxfId="153"/>
    <tableColumn id="24" xr3:uid="{148F7DFA-5836-4349-8E7A-015F7054DA60}" name="2018 Number" dataDxfId="152"/>
    <tableColumn id="25" xr3:uid="{70C00B0A-312C-433C-BA48-74A1612BDA35}" name="2018 Percentage of all live births" dataDxfId="151"/>
    <tableColumn id="26" xr3:uid="{BFADA056-B928-43F0-8FC7-26569F56B335}" name="2017 Rank" dataDxfId="150"/>
    <tableColumn id="27" xr3:uid="{A7665834-E0C3-4FDC-A661-0F017601C711}" name="2017 Number" dataDxfId="149"/>
    <tableColumn id="28" xr3:uid="{0FC1A8D6-D84E-4072-B39B-46C56CB365D8}" name="2017 Percentage of all live births" dataDxfId="148"/>
    <tableColumn id="29" xr3:uid="{5A2C0226-4B81-467F-ACA0-3348E77FF3DD}" name="2016 Rank" dataDxfId="147"/>
    <tableColumn id="30" xr3:uid="{3B7A55BA-29FE-4A75-9C07-020B65EDE346}" name="2016 Number" dataDxfId="146"/>
    <tableColumn id="31" xr3:uid="{254AF500-09DE-48FC-A697-6FB4C8782AA5}" name="2016 Percentage of all live births" dataDxfId="145"/>
    <tableColumn id="32" xr3:uid="{722E7BBC-87A5-40F2-AF82-C82616581842}" name="2015 Rank" dataDxfId="144"/>
    <tableColumn id="33" xr3:uid="{4F6949C2-5641-4BA4-9B92-874036DF9EDC}" name="2015 Number" dataDxfId="143"/>
    <tableColumn id="34" xr3:uid="{34598740-3394-4D03-B2F6-5F07C41FC20B}" name="2015 Percentage of all live births" dataDxfId="142"/>
    <tableColumn id="35" xr3:uid="{E7E35EAB-5DDB-45C4-B52C-13BBE4F14487}" name="2014 Rank" dataDxfId="141"/>
    <tableColumn id="36" xr3:uid="{2522CB96-CC95-4846-AA35-FFD68154D045}" name="2014 Number" dataDxfId="140"/>
    <tableColumn id="37" xr3:uid="{EB5E0243-6F92-4058-9117-AE87C6E00654}" name="2014 Percentage of all live births" dataDxfId="139"/>
    <tableColumn id="38" xr3:uid="{FCE3E92A-097B-41F4-B3DD-74D5F1E4ED59}" name="2013 Rank" dataDxfId="138"/>
    <tableColumn id="39" xr3:uid="{E84B6B28-916B-43A7-8010-4770EDDA74F0}" name="2013 Number" dataDxfId="137"/>
    <tableColumn id="40" xr3:uid="{DFDCF6A8-8BF8-44DD-847C-28D474523DCF}" name="2013 Percentage of all live births" dataDxfId="136"/>
    <tableColumn id="41" xr3:uid="{5DA7A911-59C4-40A7-9CB3-B202B37F3B36}" name="2012 Rank" dataDxfId="135"/>
    <tableColumn id="42" xr3:uid="{5359A88E-7B35-4D92-8086-081A6F44B354}" name="2012 Number" dataDxfId="134"/>
    <tableColumn id="43" xr3:uid="{D83A05D4-AE2A-4287-8036-7B0F23F65E1D}" name="2012 Percentage of all live births" dataDxfId="133"/>
    <tableColumn id="44" xr3:uid="{10F726EE-4868-4641-96B7-98AA0F5C2DCF}" name="2011 Rank" dataDxfId="132"/>
    <tableColumn id="45" xr3:uid="{2813231E-B448-4AEC-AAA6-86263D4DA214}" name="2011 Number" dataDxfId="131"/>
    <tableColumn id="46" xr3:uid="{534F5DDC-0AEF-4349-BC2A-09CE535AA10B}" name="2011 Percentage of all live births" dataDxfId="130"/>
    <tableColumn id="47" xr3:uid="{900EB90C-BEFB-4D61-BD6F-A2B94505E255}" name="2010 Rank" dataDxfId="129"/>
    <tableColumn id="48" xr3:uid="{EC8F7681-F22B-4D67-807D-DD5702FB1C42}" name="2010 Number" dataDxfId="128"/>
    <tableColumn id="49" xr3:uid="{283F4E12-CF88-4C70-A5F2-604CFE64FBFD}" name="2010 Percentage of all live births" dataDxfId="127"/>
    <tableColumn id="50" xr3:uid="{DFBCE755-4A33-415A-A9AA-05EFA50567DC}" name="2009 Rank" dataDxfId="126"/>
    <tableColumn id="51" xr3:uid="{7EA5DDA6-E2AD-4992-81FC-22D9FC98D004}" name="2009 Number" dataDxfId="125"/>
    <tableColumn id="52" xr3:uid="{FDF30AEE-D391-4CC1-B713-B3E5099FD837}" name="2009 Percentage of all live births" dataDxfId="124"/>
    <tableColumn id="53" xr3:uid="{151FEB9F-C72E-4A85-AA90-07FD9796D41B}" name="2008 Rank" dataDxfId="123"/>
    <tableColumn id="54" xr3:uid="{718A7524-96D6-44E8-94EC-B5446A9BB1FA}" name="2008 Number" dataDxfId="122"/>
    <tableColumn id="55" xr3:uid="{9FF83128-D12E-45D5-9E64-21CD69716B00}" name="2008 Percentage of all live births" dataDxfId="121"/>
    <tableColumn id="56" xr3:uid="{F41DFF00-B532-4CF7-B103-F29D08DA04AB}" name="2007_x000a_Rank" dataDxfId="120"/>
    <tableColumn id="57" xr3:uid="{72D5D797-76D4-4C81-8B46-D4DA166639FD}" name="2007_x000a_Number" dataDxfId="119"/>
    <tableColumn id="58" xr3:uid="{48491A65-1197-4D09-BBE8-385CA1AA8482}" name="2007_x000a_ Percentage of all live births" dataDxfId="118"/>
    <tableColumn id="59" xr3:uid="{E8A02B9A-7CFA-40FE-AB3A-77471485D949}" name="2006_x000a_Rank" dataDxfId="117"/>
    <tableColumn id="60" xr3:uid="{2FA6B3C7-A41D-4A85-9801-71B468E559F8}" name="2006_x000a_Number" dataDxfId="116"/>
    <tableColumn id="61" xr3:uid="{699FEB19-435F-43A9-B2B8-FF948A77B66A}" name="2006_x000a_Percentage of all live births" dataDxfId="115"/>
    <tableColumn id="62" xr3:uid="{38B48257-1332-4912-8930-AD7103402E90}" name="2005_x000a_Rank" dataDxfId="114"/>
    <tableColumn id="63" xr3:uid="{120B1C4C-D03A-43B2-AF72-37D11E26B94E}" name="2005_x000a_Number" dataDxfId="113"/>
    <tableColumn id="64" xr3:uid="{F019AFEA-CCD6-4993-B714-FE800DEB9F14}" name="2005 _x000a_Percentage of all live births" dataDxfId="112"/>
    <tableColumn id="65" xr3:uid="{ACAE3234-A73F-4845-843A-1CEFA21988ED}" name="2004_x000a_rank" dataDxfId="111"/>
    <tableColumn id="66" xr3:uid="{9171D1F9-6B4B-42FB-B183-F11AE416F2FE}" name="2004_x000a_Number" dataDxfId="110"/>
    <tableColumn id="67" xr3:uid="{068CFE08-A593-497F-9C5A-53F7D53FD7BF}" name="2004_x000a_Percentage of all live births" dataDxfId="109"/>
    <tableColumn id="68" xr3:uid="{6CEDE475-2252-4BD4-B1DE-B334AE0AC457}" name="2003_x000a_Rank" dataDxfId="108"/>
    <tableColumn id="69" xr3:uid="{451C43A6-CBB2-40C5-A08D-8BF2A6CF9A43}" name="2003_x000a_Number" dataDxfId="107"/>
    <tableColumn id="70" xr3:uid="{F195688B-2DE4-408A-9832-3D43A380CD27}" name="2003_x000a_Percentage of all live births" dataDxfId="106"/>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35BEA3-C9DF-448F-B5DF-4E71AE555EE8}" name="table_2b" displayName="table_2b" ref="A6:BC22" totalsRowShown="0">
  <tableColumns count="55">
    <tableColumn id="1" xr3:uid="{6F87AB5A-13A6-4C98-B945-20B47F5F9398}" name="Country of birth of father"/>
    <tableColumn id="2" xr3:uid="{8E490596-3279-46CC-B507-4F9064F88654}" name="2025 Rank" dataDxfId="105"/>
    <tableColumn id="3" xr3:uid="{BAD2FE51-C5A8-4DB0-A92D-C9BFF328977B}" name="2025 Number" dataDxfId="104"/>
    <tableColumn id="4" xr3:uid="{3A54562D-62B2-410D-81E6-451020F124DD}" name="2025 Percentage of all live births" dataDxfId="103"/>
    <tableColumn id="5" xr3:uid="{73789A68-E53E-4A79-8E8F-A3C67C77FD94}" name="2024 Rank" dataDxfId="102"/>
    <tableColumn id="6" xr3:uid="{FA78AC5E-44CF-4326-ABB6-B9D26D014C0F}" name="2024 Number" dataDxfId="101"/>
    <tableColumn id="7" xr3:uid="{83EA2DD7-9233-4BD9-A912-B0F48B290DD4}" name="2024 Percentage of all live births" dataDxfId="100"/>
    <tableColumn id="8" xr3:uid="{8E6A3CE1-BF91-4EA0-858D-3579676BB366}" name="2023 Rank" dataDxfId="99"/>
    <tableColumn id="9" xr3:uid="{F4297427-35AE-4B59-9740-3CE0CD73A687}" name="2023 Number" dataDxfId="98"/>
    <tableColumn id="10" xr3:uid="{B127673A-1735-4361-A3FA-5EB5FBF1D39B}" name="2023 Percentage of all live births" dataDxfId="97"/>
    <tableColumn id="11" xr3:uid="{21701B45-1349-4DEA-8AB2-DBF6A6377D73}" name="2022 Rank" dataDxfId="96"/>
    <tableColumn id="12" xr3:uid="{790A22E7-3218-49E2-913D-0EA90EC50459}" name="2022 Number" dataDxfId="95"/>
    <tableColumn id="13" xr3:uid="{31F4F872-5E63-496D-9A6B-0257748DD9DA}" name="2022 Percentage of all live births" dataDxfId="94"/>
    <tableColumn id="14" xr3:uid="{8F843D7E-DD60-4D6A-93E7-BE28ABF9DFD5}" name="2021 Rank" dataDxfId="93"/>
    <tableColumn id="15" xr3:uid="{D8156723-03C4-479D-A3EF-6449A7825507}" name="2021 Number" dataDxfId="92"/>
    <tableColumn id="16" xr3:uid="{D2A7CF5F-AD02-4DBB-A633-27813C4CB26D}" name="2021 Percentage of all live births" dataDxfId="91"/>
    <tableColumn id="17" xr3:uid="{14FE4283-F2BF-4EF7-A326-3290A9BDBA55}" name="2020 Rank" dataDxfId="90"/>
    <tableColumn id="18" xr3:uid="{F7A41894-00E7-49ED-B459-12D8FB060D90}" name="2020 Number" dataDxfId="89"/>
    <tableColumn id="19" xr3:uid="{D3A014FF-2378-4F26-8DF4-FC84F0A2F9A1}" name="2020 Percentage of all live births" dataDxfId="88"/>
    <tableColumn id="20" xr3:uid="{7E225366-0AEC-4B4D-9E67-B745F3499E9A}" name="2019 Rank" dataDxfId="87"/>
    <tableColumn id="21" xr3:uid="{3190C914-EEAF-4270-9F8F-01A44F8C4856}" name="2019 Number" dataDxfId="86"/>
    <tableColumn id="22" xr3:uid="{02F59D11-5444-49A4-82BE-25C3E50CE80D}" name="2019 Percentage of all live births" dataDxfId="85"/>
    <tableColumn id="23" xr3:uid="{31B05266-48AD-496B-A33B-DB58334FEED0}" name="2018 Rank" dataDxfId="84"/>
    <tableColumn id="24" xr3:uid="{1767BD8B-58F4-4E1F-BD49-A03946716624}" name="2018 Number" dataDxfId="83"/>
    <tableColumn id="25" xr3:uid="{1A6F968B-D371-4ED7-83E3-EE5AA940E88F}" name="2018 Percentage of all live births" dataDxfId="82"/>
    <tableColumn id="26" xr3:uid="{95686EEB-98B6-40C1-A687-7D2F7081ACFB}" name="2017 Rank" dataDxfId="81"/>
    <tableColumn id="27" xr3:uid="{CBB301D3-82D0-4CF0-8ACC-807BF8CAFACB}" name="2017 Number" dataDxfId="80"/>
    <tableColumn id="28" xr3:uid="{2A99CC6E-660F-407A-A680-36BD3555778A}" name="2017 Percentage of all live births" dataDxfId="79"/>
    <tableColumn id="29" xr3:uid="{198F6CB4-26EB-4FAF-B3AC-B3FDF225F5BF}" name="2016 Rank" dataDxfId="78"/>
    <tableColumn id="30" xr3:uid="{A7082CB3-E6C9-4A80-8EA7-02F1FD89DDBC}" name="2016 Number" dataDxfId="77"/>
    <tableColumn id="31" xr3:uid="{28EF30F5-97DD-472D-B403-D11E7476BA81}" name="2016 Percentage of all live births" dataDxfId="76"/>
    <tableColumn id="32" xr3:uid="{3D3E606D-105C-4149-B459-7B364367678E}" name="2015 Rank" dataDxfId="75"/>
    <tableColumn id="33" xr3:uid="{FDFF46E9-5BFC-45A6-9B68-A6C2B6D7C380}" name="2015 Number" dataDxfId="74"/>
    <tableColumn id="34" xr3:uid="{DBF3AC5B-7F72-4C36-AA6B-18D2165356B1}" name="2015 Percentage of all live births" dataDxfId="73"/>
    <tableColumn id="35" xr3:uid="{9CDE555F-3C4B-4C07-8D1F-64D3FC66F701}" name="2014 Rank" dataDxfId="72"/>
    <tableColumn id="36" xr3:uid="{2272ACC4-43A0-49ED-92B6-5332A65EC3ED}" name="2014 Number" dataDxfId="71"/>
    <tableColumn id="37" xr3:uid="{CF01C6A2-7704-4BB1-8B50-FBF87E3B152C}" name="2014 Percentage of all live births" dataDxfId="70"/>
    <tableColumn id="38" xr3:uid="{FAB7858D-FBD8-42B7-A11A-B42A5EAC3060}" name="2013 Rank" dataDxfId="69"/>
    <tableColumn id="39" xr3:uid="{4CCDDBE0-3EFC-4761-9AF6-6AAAD6B0C05F}" name="2013 Number" dataDxfId="68"/>
    <tableColumn id="40" xr3:uid="{3BDEB007-1E07-4307-8657-8770E75097FD}" name="2013 Percentage of all live births" dataDxfId="67"/>
    <tableColumn id="41" xr3:uid="{D47EFF0C-D2E8-48C4-A196-7C5957B6AFDD}" name="2012 Rank" dataDxfId="66"/>
    <tableColumn id="42" xr3:uid="{D334FEF5-480B-47C1-914D-B44E3BB6E3C7}" name="2012 Number" dataDxfId="65"/>
    <tableColumn id="43" xr3:uid="{5A3C6801-26E3-4CBF-84A6-27530F6F32F3}" name="2012 Percentage of all live births" dataDxfId="64"/>
    <tableColumn id="44" xr3:uid="{FF57D159-1183-40A0-8EA0-71BDCDC7A368}" name="2011 Rank" dataDxfId="63"/>
    <tableColumn id="45" xr3:uid="{57A2973C-4471-43FB-A852-34155ABE1C8F}" name="2011 Number" dataDxfId="62"/>
    <tableColumn id="46" xr3:uid="{F42BA37E-8DBA-443F-ADE7-8FE4C8C2724B}" name="2011 Percentage of all live births" dataDxfId="61"/>
    <tableColumn id="47" xr3:uid="{350F6C7F-C24D-42B0-B850-E4EF26622D64}" name="2010 Rank" dataDxfId="60"/>
    <tableColumn id="48" xr3:uid="{46269989-0764-4F63-8BE6-CC57B48F2031}" name="2010 Number" dataDxfId="59"/>
    <tableColumn id="49" xr3:uid="{5FC65AC8-AA67-489C-A1A8-BCF9FF4B8E9C}" name="2010 Percentage of all live births" dataDxfId="58"/>
    <tableColumn id="50" xr3:uid="{DAA4C444-3A87-4A66-8D23-1E62CC91BA7D}" name="2009 Rank" dataDxfId="57"/>
    <tableColumn id="51" xr3:uid="{290D95DC-B96C-42BD-B7DA-9EDA14149DA7}" name="2009 Number" dataDxfId="56"/>
    <tableColumn id="52" xr3:uid="{967B62C4-D46E-4D70-9AAC-E2CC1E968600}" name="2009 Percentage of all live births" dataDxfId="55"/>
    <tableColumn id="53" xr3:uid="{E8EC2931-499E-4F08-96F4-927D152A109E}" name="2008 Rank" dataDxfId="54"/>
    <tableColumn id="54" xr3:uid="{0D8BA1A7-81E8-485F-983F-E338502F4298}" name="2008 Number" dataDxfId="53"/>
    <tableColumn id="55" xr3:uid="{24AEBA54-406C-4159-95BE-3457C0CE169C}" name="2008 Percentage of all live births" dataDxfId="52"/>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3" displayName="table_3" ref="A6:AG38" totalsRowShown="0" headerRowDxfId="51">
  <tableColumns count="33">
    <tableColumn id="1" xr3:uid="{00000000-0010-0000-0500-000001000000}" name="Country of birth of father"/>
    <tableColumn id="2" xr3:uid="{00000000-0010-0000-0500-000002000000}" name="Country of birth of mother_x000a_Total"/>
    <tableColumn id="3" xr3:uid="{00000000-0010-0000-0500-000003000000}" name="Country of birth of mother_x000a_UK"/>
    <tableColumn id="4" xr3:uid="{00000000-0010-0000-0500-000004000000}" name="Country of birth of mother  _x000a_Total outside United Kingdom"/>
    <tableColumn id="5" xr3:uid="{00000000-0010-0000-0500-000005000000}" name="Country of birth of mother  _x000a_EU"/>
    <tableColumn id="6" xr3:uid="{00000000-0010-0000-0500-000006000000}" name="Country of birth of mother  _x000a_New EU"/>
    <tableColumn id="7" xr3:uid="{00000000-0010-0000-0500-000007000000}" name="Country of birth of mother  _x000a_Poland"/>
    <tableColumn id="8" xr3:uid="{00000000-0010-0000-0500-000008000000}" name="Country of birth of mother  _x000a_Romania"/>
    <tableColumn id="9" xr3:uid="{00000000-0010-0000-0500-000009000000}" name="Country of birth of mother  _x000a_Rest of Europe"/>
    <tableColumn id="10" xr3:uid="{00000000-0010-0000-0500-00000A000000}" name="Country of birth of mother  _x000a_Africa"/>
    <tableColumn id="11" xr3:uid="{00000000-0010-0000-0500-00000B000000}" name="Country of birth of mother  _x000a_North Africa"/>
    <tableColumn id="12" xr3:uid="{00000000-0010-0000-0500-00000C000000}" name="Country of birth of mother  _x000a_Western Africa"/>
    <tableColumn id="13" xr3:uid="{00000000-0010-0000-0500-00000D000000}" name="Country of birth of mother  _x000a_Central Africa"/>
    <tableColumn id="14" xr3:uid="{00000000-0010-0000-0500-00000E000000}" name="Country of birth of mother  _x000a_Eastern Africa"/>
    <tableColumn id="15" xr3:uid="{00000000-0010-0000-0500-00000F000000}" name="Country of birth of mother  _x000a_Southern Africa"/>
    <tableColumn id="16" xr3:uid="{00000000-0010-0000-0500-000010000000}" name="Country of birth of mother  _x000a_The Americas and the Caribbean"/>
    <tableColumn id="17" xr3:uid="{00000000-0010-0000-0500-000011000000}" name="Country of birth of mother  _x000a_North America"/>
    <tableColumn id="18" xr3:uid="{00000000-0010-0000-0500-000012000000}" name="Country of birth of mother  _x000a_Central America"/>
    <tableColumn id="19" xr3:uid="{00000000-0010-0000-0500-000013000000}" name="Country of birth of mother  _x000a_South America"/>
    <tableColumn id="20" xr3:uid="{00000000-0010-0000-0500-000014000000}" name="Country of birth of mother  _x000a_The Caribbean"/>
    <tableColumn id="21" xr3:uid="{00000000-0010-0000-0500-000015000000}" name="Country of birth of mother  _x000a_Middle East and Asia"/>
    <tableColumn id="22" xr3:uid="{00000000-0010-0000-0500-000016000000}" name="Country of birth of mother  _x000a_Middle East"/>
    <tableColumn id="23" xr3:uid="{00000000-0010-0000-0500-000017000000}" name="Country of birth of mother  _x000a_Central Asia"/>
    <tableColumn id="24" xr3:uid="{00000000-0010-0000-0500-000018000000}" name="Country of birth of mother  _x000a_Eastern Asia"/>
    <tableColumn id="25" xr3:uid="{00000000-0010-0000-0500-000019000000}" name="Country of birth of mother  _x000a_Southern Asia"/>
    <tableColumn id="26" xr3:uid="{00000000-0010-0000-0500-00001A000000}" name="Country of birth of mother  _x000a_India"/>
    <tableColumn id="27" xr3:uid="{00000000-0010-0000-0500-00001B000000}" name="Country of birth of mother  _x000a_Pakistan"/>
    <tableColumn id="28" xr3:uid="{00000000-0010-0000-0500-00001C000000}" name="Country of birth of mother  _x000a_Bangladesh"/>
    <tableColumn id="29" xr3:uid="{00000000-0010-0000-0500-00001D000000}" name="Country of birth of mother  _x000a_South East Asia"/>
    <tableColumn id="30" xr3:uid="{00000000-0010-0000-0500-00001E000000}" name="Country of birth of mother  _x000a_Antarctica and Oceania"/>
    <tableColumn id="31" xr3:uid="{00000000-0010-0000-0500-00001F000000}" name="Country of birth of mother  _x000a_Australasia"/>
    <tableColumn id="32" xr3:uid="{00000000-0010-0000-0500-000020000000}" name="Country of birth of mother  _x000a_Other Oceania"/>
    <tableColumn id="33" xr3:uid="{00000000-0010-0000-0500-000021000000}" name="Country of birth of mother  _x000a_Not Stated"/>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4" displayName="table_4" ref="A6:AK14" totalsRowShown="0" headerRowDxfId="50">
  <tableColumns count="37">
    <tableColumn id="1" xr3:uid="{00000000-0010-0000-0600-000001000000}" name="Country of birth of mother and of father"/>
    <tableColumn id="2" xr3:uid="{00000000-0010-0000-0600-000002000000}" name="2025_x000a_Numbers" dataDxfId="49"/>
    <tableColumn id="3" xr3:uid="{00000000-0010-0000-0600-000003000000}" name="2025_x000a_Percentages"/>
    <tableColumn id="4" xr3:uid="{00000000-0010-0000-0600-000004000000}" name="2024_x000a_Numbers " dataDxfId="48"/>
    <tableColumn id="5" xr3:uid="{00000000-0010-0000-0600-000005000000}" name="2024_x000a_Percentages" dataDxfId="47"/>
    <tableColumn id="6" xr3:uid="{00000000-0010-0000-0600-000006000000}" name="2023_x000a_Numbers" dataDxfId="46" dataCellStyle="Comma"/>
    <tableColumn id="7" xr3:uid="{00000000-0010-0000-0600-000007000000}" name="2023_x000a_Percentages" dataDxfId="45" dataCellStyle="Comma"/>
    <tableColumn id="8" xr3:uid="{00000000-0010-0000-0600-000008000000}" name="2022_x000a_Numbers" dataDxfId="44"/>
    <tableColumn id="9" xr3:uid="{00000000-0010-0000-0600-000009000000}" name="2022_x000a_Percentages" dataDxfId="43"/>
    <tableColumn id="10" xr3:uid="{00000000-0010-0000-0600-00000A000000}" name="2021_x000a_Numbers" dataDxfId="42"/>
    <tableColumn id="11" xr3:uid="{00000000-0010-0000-0600-00000B000000}" name="2021_x000a_Percentages" dataDxfId="41"/>
    <tableColumn id="12" xr3:uid="{00000000-0010-0000-0600-00000C000000}" name="2020_x000a_Numbers " dataDxfId="40"/>
    <tableColumn id="13" xr3:uid="{00000000-0010-0000-0600-00000D000000}" name="2020_x000a_Percentages" dataDxfId="39"/>
    <tableColumn id="14" xr3:uid="{00000000-0010-0000-0600-00000E000000}" name="2019_x000a_Numbers" dataDxfId="38"/>
    <tableColumn id="15" xr3:uid="{00000000-0010-0000-0600-00000F000000}" name="2019_x000a_Percentages" dataDxfId="37"/>
    <tableColumn id="16" xr3:uid="{00000000-0010-0000-0600-000010000000}" name="2018_x000a_Numbers" dataDxfId="36"/>
    <tableColumn id="17" xr3:uid="{00000000-0010-0000-0600-000011000000}" name="2018_x000a_Percentages" dataDxfId="35"/>
    <tableColumn id="18" xr3:uid="{00000000-0010-0000-0600-000012000000}" name="2017_x000a_Numbers" dataDxfId="34"/>
    <tableColumn id="19" xr3:uid="{00000000-0010-0000-0600-000013000000}" name="2017_x000a_Percentages" dataDxfId="33"/>
    <tableColumn id="20" xr3:uid="{00000000-0010-0000-0600-000014000000}" name="2016_x000a_Numbers" dataDxfId="32"/>
    <tableColumn id="21" xr3:uid="{00000000-0010-0000-0600-000015000000}" name="2016_x000a_Percentages" dataDxfId="31"/>
    <tableColumn id="22" xr3:uid="{00000000-0010-0000-0600-000016000000}" name="2015_x000a_Numbers" dataDxfId="30"/>
    <tableColumn id="23" xr3:uid="{00000000-0010-0000-0600-000017000000}" name="2015_x000a_Percentages" dataDxfId="29"/>
    <tableColumn id="24" xr3:uid="{00000000-0010-0000-0600-000018000000}" name="2014_x000a_Numbers" dataDxfId="28"/>
    <tableColumn id="25" xr3:uid="{00000000-0010-0000-0600-000019000000}" name="2014_x000a_Percentages" dataDxfId="27"/>
    <tableColumn id="26" xr3:uid="{00000000-0010-0000-0600-00001A000000}" name="2013_x000a_Numbers" dataDxfId="26"/>
    <tableColumn id="27" xr3:uid="{00000000-0010-0000-0600-00001B000000}" name="2013_x000a_Percentages" dataDxfId="25"/>
    <tableColumn id="28" xr3:uid="{00000000-0010-0000-0600-00001C000000}" name="2012_x000a_Numbers" dataDxfId="24"/>
    <tableColumn id="29" xr3:uid="{00000000-0010-0000-0600-00001D000000}" name="2012_x000a_Percentages" dataDxfId="23"/>
    <tableColumn id="30" xr3:uid="{00000000-0010-0000-0600-00001E000000}" name="2011_x000a_Numbers" dataDxfId="22"/>
    <tableColumn id="31" xr3:uid="{00000000-0010-0000-0600-00001F000000}" name="2011_x000a_Percentages" dataDxfId="21"/>
    <tableColumn id="32" xr3:uid="{00000000-0010-0000-0600-000020000000}" name="2010_x000a_Numbers" dataDxfId="20"/>
    <tableColumn id="33" xr3:uid="{00000000-0010-0000-0600-000021000000}" name="2010_x000a_Percentages" dataDxfId="19"/>
    <tableColumn id="34" xr3:uid="{00000000-0010-0000-0600-000022000000}" name="2009_x000a_Numbers" dataDxfId="18"/>
    <tableColumn id="35" xr3:uid="{00000000-0010-0000-0600-000023000000}" name="2009_x000a_Percentages" dataDxfId="17"/>
    <tableColumn id="36" xr3:uid="{00000000-0010-0000-0600-000024000000}" name="2008_x000a_Numbers" dataDxfId="16"/>
    <tableColumn id="37" xr3:uid="{00000000-0010-0000-0600-000025000000}" name="2008_x000a_Percentages" dataDxfId="15"/>
  </tableColumns>
  <tableStyleInfo name="non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5" displayName="table_5" ref="A6:K38" totalsRowShown="0">
  <tableColumns count="11">
    <tableColumn id="1" xr3:uid="{00000000-0010-0000-0700-000001000000}" name="Country of birth of mother"/>
    <tableColumn id="2" xr3:uid="{00000000-0010-0000-0700-000002000000}" name="Age of mother at birth  _x000a_All ages"/>
    <tableColumn id="3" xr3:uid="{00000000-0010-0000-0700-000003000000}" name="Age of mother at birth  _x000a_Under 20"/>
    <tableColumn id="4" xr3:uid="{00000000-0010-0000-0700-000004000000}" name="Age of mother at birth  _x000a_20 to 24"/>
    <tableColumn id="5" xr3:uid="{00000000-0010-0000-0700-000005000000}" name="Age of mother at birth  _x000a_25 to 29"/>
    <tableColumn id="6" xr3:uid="{00000000-0010-0000-0700-000006000000}" name="Age of mother at birth  _x000a_30 to 34"/>
    <tableColumn id="7" xr3:uid="{00000000-0010-0000-0700-000007000000}" name="Age of mother at birth  _x000a_35 to 39"/>
    <tableColumn id="8" xr3:uid="{00000000-0010-0000-0700-000008000000}" name="Age of mother at birth  _x000a_40 to 44"/>
    <tableColumn id="9" xr3:uid="{00000000-0010-0000-0700-000009000000}" name="Age of mother at birth  _x000a_45 to 49"/>
    <tableColumn id="10" xr3:uid="{00000000-0010-0000-0700-00000A000000}" name="Age of mother at birth  _x000a_50 and over"/>
    <tableColumn id="11" xr3:uid="{00000000-0010-0000-0700-00000B000000}" name="Age of mother at birth  _x000a_Not Stated"/>
  </tableColumns>
  <tableStyleInfo name="non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6a" displayName="table_6a" ref="A6:M2519" totalsRowShown="0" headerRowDxfId="14">
  <tableColumns count="13">
    <tableColumn id="1" xr3:uid="{00000000-0010-0000-0800-000001000000}" name="Area of usual residence_x000a_Code"/>
    <tableColumn id="15" xr3:uid="{12ECE5C2-B2BF-4EE6-9D1E-46B45479F4A7}" name="Area of usual residence_x000a_Name" dataDxfId="13"/>
    <tableColumn id="2" xr3:uid="{00000000-0010-0000-0800-000002000000}" name="Area of usual residence_x000a_Geography" dataDxfId="12"/>
    <tableColumn id="4" xr3:uid="{00000000-0010-0000-0800-000004000000}" name="Number of live births"/>
    <tableColumn id="5" xr3:uid="{00000000-0010-0000-0800-000005000000}" name="Live births to UK-born mothers"/>
    <tableColumn id="6" xr3:uid="{00000000-0010-0000-0800-000006000000}" name="Live births to non-UK-born mothers"/>
    <tableColumn id="7" xr3:uid="{00000000-0010-0000-0800-000007000000}" name="Live births to non-UK-born mothers _x000a_Percentage of all live births"/>
    <tableColumn id="8" xr3:uid="{00000000-0010-0000-0800-000008000000}" name="Live births to non-UK-born mothers _x000a_Mother's country of birth  _x000a_EU"/>
    <tableColumn id="9" xr3:uid="{00000000-0010-0000-0800-000009000000}" name="Live births to non-UK-born mothers _x000a_Mother's country of birth  _x000a_New EU"/>
    <tableColumn id="10" xr3:uid="{00000000-0010-0000-0800-00000A000000}" name="Live births to non-UK-born mothers _x000a_Mother's country of birth  _x000a_Rest of Europe (non EU)"/>
    <tableColumn id="11" xr3:uid="{00000000-0010-0000-0800-00000B000000}" name="Live births to non-UK-born mothers _x000a_Mother's country of birth  _x000a_Africa"/>
    <tableColumn id="12" xr3:uid="{00000000-0010-0000-0800-00000C000000}" name="Live births to non-UK-born mothers _x000a_Mother's country of birth  _x000a_Middle East and Asia"/>
    <tableColumn id="13" xr3:uid="{00000000-0010-0000-0800-00000D000000}" name="Live births to non-UK-born mothers _x000a_Mother's country of birth  _x000a_Rest of World"/>
  </tableColumns>
  <tableStyleInfo name="non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6b" displayName="table_6b" ref="A6:J366" totalsRowShown="0">
  <tableColumns count="10">
    <tableColumn id="1" xr3:uid="{00000000-0010-0000-0900-000001000000}" name="Area of usual residence_x000a_Code"/>
    <tableColumn id="2" xr3:uid="{00000000-0010-0000-0900-000002000000}" name="Area of usual residence_x000a_Name" dataDxfId="11"/>
    <tableColumn id="3" xr3:uid="{00000000-0010-0000-0900-000003000000}" name="Area of usual residence _x000a_Geography"/>
    <tableColumn id="4" xr3:uid="{00000000-0010-0000-0900-000004000000}" name="Number of live births"/>
    <tableColumn id="5" xr3:uid="{00000000-0010-0000-0900-000005000000}" name="Live births where one parent is born outside of the UK _x000a_Number" dataDxfId="10"/>
    <tableColumn id="6" xr3:uid="{00000000-0010-0000-0900-000006000000}" name="Live births where one parent is born outside of the UK _x000a_Percentage of all live births" dataDxfId="9"/>
    <tableColumn id="7" xr3:uid="{00000000-0010-0000-0900-000007000000}" name="Live births where both parents are born outside of the UK _x000a_Number" dataDxfId="8"/>
    <tableColumn id="8" xr3:uid="{00000000-0010-0000-0900-000008000000}" name="Live births where both parents are born outside of the UK _x000a_Percentage of all live births" dataDxfId="7"/>
    <tableColumn id="9" xr3:uid="{00000000-0010-0000-0900-000009000000}" name="Live births where either one or both parents are born outside of the UK _x000a_Number" dataDxfId="6"/>
    <tableColumn id="10" xr3:uid="{00000000-0010-0000-0900-00000A000000}" name="Live births where either one or both parents are born outside of the UK _x000a_Percentage of all live births" dataDxfId="5"/>
  </tableColumns>
  <tableStyleInfo name="non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3384AD-4352-4D14-8480-B359E2E4F17D}" name="Table_7" displayName="Table_7" ref="A6:D97" totalsRowShown="0" headerRowBorderDxfId="4" tableBorderDxfId="3">
  <tableColumns count="4">
    <tableColumn id="1" xr3:uid="{0E819F02-0B48-4361-8040-01E18D64210A}" name="Country of birth of mother" dataDxfId="2"/>
    <tableColumn id="4" xr3:uid="{64142FE5-FCF3-443E-8ED3-C72E1991D7B4}" name="2001" dataDxfId="1"/>
    <tableColumn id="3" xr3:uid="{2DF9942F-8E86-4F98-8C07-13662F355182}" name="2011" dataDxfId="0"/>
    <tableColumn id="5" xr3:uid="{54F948F6-DC59-4AB6-BE72-396FC775CE4A}" name="202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methodology/classificationsandstandards/otherclassifications/nationalstatisticscountryclassification" TargetMode="External"/><Relationship Id="rId13" Type="http://schemas.openxmlformats.org/officeDocument/2006/relationships/hyperlink" Target="https://code.statisticsauthority.gov.uk/" TargetMode="External"/><Relationship Id="rId18" Type="http://schemas.openxmlformats.org/officeDocument/2006/relationships/hyperlink" Target="https://www.ons.gov.uk/peoplepopulationandcommunity/birthsdeathsandmarriages/livebirths/datasets/birthsinenglandandwalesbirthregistrations" TargetMode="External"/><Relationship Id="rId3" Type="http://schemas.openxmlformats.org/officeDocument/2006/relationships/hyperlink" Target="https://www.ons.gov.uk/peoplepopulationandcommunity/birthsdeathsandmarriages/livebirths/methodologies/userguidetobirthstatistics" TargetMode="External"/><Relationship Id="rId21" Type="http://schemas.openxmlformats.org/officeDocument/2006/relationships/hyperlink" Target="https://www.ons.gov.uk/peoplepopulationandcommunity/birthsdeathsandmarriages/livebirths/datasets/babynamesenglandandwalesbabynamesstatisticsboys" TargetMode="External"/><Relationship Id="rId7" Type="http://schemas.openxmlformats.org/officeDocument/2006/relationships/hyperlink" Target="https://www.ons.gov.uk/peoplepopulationandcommunity/birthsdeathsandmarriages/livebirths/bulletins/birthsummarytablesenglandandwales/latest" TargetMode="External"/><Relationship Id="rId12" Type="http://schemas.openxmlformats.org/officeDocument/2006/relationships/hyperlink" Target="mailto:Health.Data@ons.gov.uk" TargetMode="External"/><Relationship Id="rId17" Type="http://schemas.openxmlformats.org/officeDocument/2006/relationships/hyperlink" Target="https://www.ons.gov.uk/peoplepopulationandcommunity/birthsdeathsandmarriages/livebirths/datasets/parentscountryofbirth" TargetMode="External"/><Relationship Id="rId25" Type="http://schemas.openxmlformats.org/officeDocument/2006/relationships/hyperlink" Target="https://www.ons.gov.uk/peoplepopulationandcommunity/birthsdeathsandmarriages/livebirths/datasets/birthsbyparentscharacteristics" TargetMode="External"/><Relationship Id="rId2" Type="http://schemas.openxmlformats.org/officeDocument/2006/relationships/hyperlink" Target="https://www.ons.gov.uk/peoplepopulationandcommunity/birthsdeathsandmarriages/livebirths/methodologies/birthsqmi" TargetMode="External"/><Relationship Id="rId16" Type="http://schemas.openxmlformats.org/officeDocument/2006/relationships/hyperlink" Target="https://www.ons.gov.uk/peoplepopulationandcommunity/birthsdeathsandmarriages/livebirths/methodologies/birthsqmi" TargetMode="External"/><Relationship Id="rId20" Type="http://schemas.openxmlformats.org/officeDocument/2006/relationships/hyperlink" Target="https://www.ons.gov.uk/peoplepopulationandcommunity/birthsdeathsandmarriages/livebirths/datasets/babynamesenglandandwalesbabynamesstatisticsgirls" TargetMode="External"/><Relationship Id="rId1" Type="http://schemas.openxmlformats.org/officeDocument/2006/relationships/hyperlink" Target="https://osr.statisticsauthority.gov.uk/correspondence/michael-keoghan-to-siobhan-tuohy-smith-request-to-suspend-aps-accreditation/" TargetMode="External"/><Relationship Id="rId6" Type="http://schemas.openxmlformats.org/officeDocument/2006/relationships/hyperlink" Target="https://www.ons.gov.uk/peoplepopulationandcommunity/birthsdeathsandmarriages/livebirths/methodologies/userguidetobirthstatistics" TargetMode="External"/><Relationship Id="rId11" Type="http://schemas.openxmlformats.org/officeDocument/2006/relationships/hyperlink" Target="https://www.ons.gov.uk/search?q=births&amp;sortBy=relevance&amp;filter=user_requested_data&amp;q=births&amp;size=10" TargetMode="External"/><Relationship Id="rId24" Type="http://schemas.openxmlformats.org/officeDocument/2006/relationships/hyperlink" Target="https://www.ons.gov.uk/peoplepopulationandcommunity/birthsdeathsandmarriages/livebirths/datasets/birthcharacteristicsinenglandandwales" TargetMode="External"/><Relationship Id="rId5" Type="http://schemas.openxmlformats.org/officeDocument/2006/relationships/hyperlink" Target="https://www.ons.gov.uk/peoplepopulationandcommunity/birthsdeathsandmarriages/livebirths/articles/birthsinenglandandwalesexplained/2020" TargetMode="External"/><Relationship Id="rId15" Type="http://schemas.openxmlformats.org/officeDocument/2006/relationships/hyperlink" Target="https://www.ons.gov.uk/peoplepopulationandcommunity/birthsdeathsandmarriages/livebirths/methodologies/userguidetobirthstatistics" TargetMode="External"/><Relationship Id="rId23" Type="http://schemas.openxmlformats.org/officeDocument/2006/relationships/hyperlink" Target="https://www.ons.gov.uk/peoplepopulationandcommunity/birthsdeathsandmarriages/livebirths/datasets/birthsummarytables" TargetMode="External"/><Relationship Id="rId10" Type="http://schemas.openxmlformats.org/officeDocument/2006/relationships/hyperlink" Target="https://www.ons.gov.uk/aboutus/whatwedo/statistics/publicationscheme/chargingrates" TargetMode="External"/><Relationship Id="rId19" Type="http://schemas.openxmlformats.org/officeDocument/2006/relationships/hyperlink" Target="https://www.ons.gov.uk/peoplepopulationandcommunity/birthsdeathsandmarriages/livebirths/datasets/birthsinenglandandwaleslinkedbirths" TargetMode="External"/><Relationship Id="rId4" Type="http://schemas.openxmlformats.org/officeDocument/2006/relationships/hyperlink" Target="https://www.ons.gov.uk/methodology/methodologytopicsandstatisticalconcepts/disclosurecontrol/policyonprotectingconfidentialityintablesofbirthanddeathstatistics" TargetMode="External"/><Relationship Id="rId9" Type="http://schemas.openxmlformats.org/officeDocument/2006/relationships/hyperlink" Target="https://gss.civilservice.gov.uk/policy-store/symbols-in-tables-definitions-and-help/" TargetMode="External"/><Relationship Id="rId14" Type="http://schemas.openxmlformats.org/officeDocument/2006/relationships/hyperlink" Target="https://www.nationalarchives.gov.uk/doc/open-government-licence/version/3/" TargetMode="External"/><Relationship Id="rId22" Type="http://schemas.openxmlformats.org/officeDocument/2006/relationships/hyperlink" Target="https://www.ons.gov.uk/peoplepopulationandcommunity/birthsdeathsandmarriages/deaths/bulletins/childhoodinfantandperinatalmortalityinenglandandwal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geoportal.statistics.gov.uk/"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6"/>
  <sheetViews>
    <sheetView showGridLines="0" tabSelected="1" workbookViewId="0"/>
  </sheetViews>
  <sheetFormatPr defaultColWidth="11.5546875" defaultRowHeight="15" x14ac:dyDescent="0.2"/>
  <cols>
    <col min="1" max="1" width="130.6640625" customWidth="1"/>
  </cols>
  <sheetData>
    <row r="1" spans="1:1" ht="20.25" x14ac:dyDescent="0.3">
      <c r="A1" s="2" t="s">
        <v>0</v>
      </c>
    </row>
    <row r="2" spans="1:1" ht="30" customHeight="1" x14ac:dyDescent="0.25">
      <c r="A2" s="3" t="s">
        <v>1</v>
      </c>
    </row>
    <row r="3" spans="1:1" x14ac:dyDescent="0.2">
      <c r="A3" s="1" t="s">
        <v>2</v>
      </c>
    </row>
    <row r="4" spans="1:1" x14ac:dyDescent="0.2">
      <c r="A4" s="1" t="s">
        <v>3</v>
      </c>
    </row>
    <row r="5" spans="1:1" ht="30" x14ac:dyDescent="0.2">
      <c r="A5" s="1" t="s">
        <v>4</v>
      </c>
    </row>
    <row r="6" spans="1:1" ht="30" x14ac:dyDescent="0.2">
      <c r="A6" s="1" t="s">
        <v>5</v>
      </c>
    </row>
    <row r="7" spans="1:1" ht="30" customHeight="1" x14ac:dyDescent="0.25">
      <c r="A7" s="3" t="s">
        <v>6</v>
      </c>
    </row>
    <row r="8" spans="1:1" ht="45" x14ac:dyDescent="0.2">
      <c r="A8" s="1" t="s">
        <v>7</v>
      </c>
    </row>
    <row r="9" spans="1:1" x14ac:dyDescent="0.2">
      <c r="A9" s="5" t="s">
        <v>8</v>
      </c>
    </row>
    <row r="10" spans="1:1" ht="30" x14ac:dyDescent="0.2">
      <c r="A10" s="1" t="s">
        <v>9</v>
      </c>
    </row>
    <row r="11" spans="1:1" ht="30" customHeight="1" x14ac:dyDescent="0.25">
      <c r="A11" s="3" t="s">
        <v>10</v>
      </c>
    </row>
    <row r="12" spans="1:1" ht="30" x14ac:dyDescent="0.2">
      <c r="A12" s="20" t="s">
        <v>11</v>
      </c>
    </row>
    <row r="13" spans="1:1" ht="30" customHeight="1" x14ac:dyDescent="0.25">
      <c r="A13" s="3" t="s">
        <v>12</v>
      </c>
    </row>
    <row r="14" spans="1:1" x14ac:dyDescent="0.2">
      <c r="A14" s="1" t="s">
        <v>13</v>
      </c>
    </row>
    <row r="15" spans="1:1" ht="60" x14ac:dyDescent="0.2">
      <c r="A15" s="1" t="s">
        <v>14</v>
      </c>
    </row>
    <row r="16" spans="1:1" x14ac:dyDescent="0.2">
      <c r="A16" s="5" t="s">
        <v>15</v>
      </c>
    </row>
    <row r="17" spans="1:1" x14ac:dyDescent="0.2">
      <c r="A17" s="1" t="s">
        <v>16</v>
      </c>
    </row>
    <row r="18" spans="1:1" x14ac:dyDescent="0.2">
      <c r="A18" s="5" t="s">
        <v>17</v>
      </c>
    </row>
    <row r="19" spans="1:1" x14ac:dyDescent="0.2">
      <c r="A19" s="1" t="s">
        <v>18</v>
      </c>
    </row>
    <row r="20" spans="1:1" x14ac:dyDescent="0.2">
      <c r="A20" s="5" t="s">
        <v>19</v>
      </c>
    </row>
    <row r="21" spans="1:1" ht="30" customHeight="1" x14ac:dyDescent="0.25">
      <c r="A21" s="3" t="s">
        <v>20</v>
      </c>
    </row>
    <row r="22" spans="1:1" x14ac:dyDescent="0.2">
      <c r="A22" s="1" t="s">
        <v>21</v>
      </c>
    </row>
    <row r="23" spans="1:1" x14ac:dyDescent="0.2">
      <c r="A23" s="1" t="s">
        <v>22</v>
      </c>
    </row>
    <row r="24" spans="1:1" ht="105" x14ac:dyDescent="0.2">
      <c r="A24" s="1" t="s">
        <v>23</v>
      </c>
    </row>
    <row r="25" spans="1:1" x14ac:dyDescent="0.2">
      <c r="A25" s="5" t="s">
        <v>24</v>
      </c>
    </row>
    <row r="26" spans="1:1" ht="60" x14ac:dyDescent="0.2">
      <c r="A26" s="1" t="s">
        <v>25</v>
      </c>
    </row>
    <row r="27" spans="1:1" x14ac:dyDescent="0.2">
      <c r="A27" s="5" t="s">
        <v>17</v>
      </c>
    </row>
    <row r="28" spans="1:1" ht="45" x14ac:dyDescent="0.2">
      <c r="A28" s="1" t="s">
        <v>26</v>
      </c>
    </row>
    <row r="29" spans="1:1" x14ac:dyDescent="0.2">
      <c r="A29" s="5" t="s">
        <v>27</v>
      </c>
    </row>
    <row r="30" spans="1:1" ht="30" customHeight="1" x14ac:dyDescent="0.25">
      <c r="A30" s="3" t="s">
        <v>28</v>
      </c>
    </row>
    <row r="31" spans="1:1" ht="30" customHeight="1" x14ac:dyDescent="0.25">
      <c r="A31" s="3" t="s">
        <v>29</v>
      </c>
    </row>
    <row r="32" spans="1:1" ht="45" x14ac:dyDescent="0.2">
      <c r="A32" s="1" t="s">
        <v>30</v>
      </c>
    </row>
    <row r="33" spans="1:1" ht="30" customHeight="1" x14ac:dyDescent="0.25">
      <c r="A33" s="3" t="s">
        <v>31</v>
      </c>
    </row>
    <row r="34" spans="1:1" ht="60" x14ac:dyDescent="0.2">
      <c r="A34" s="1" t="s">
        <v>32</v>
      </c>
    </row>
    <row r="35" spans="1:1" x14ac:dyDescent="0.2">
      <c r="A35" s="5" t="s">
        <v>33</v>
      </c>
    </row>
    <row r="36" spans="1:1" ht="30" customHeight="1" x14ac:dyDescent="0.25">
      <c r="A36" s="3" t="s">
        <v>34</v>
      </c>
    </row>
    <row r="37" spans="1:1" ht="60" x14ac:dyDescent="0.2">
      <c r="A37" s="1" t="s">
        <v>35</v>
      </c>
    </row>
    <row r="38" spans="1:1" ht="30" customHeight="1" x14ac:dyDescent="0.25">
      <c r="A38" s="3" t="s">
        <v>36</v>
      </c>
    </row>
    <row r="39" spans="1:1" x14ac:dyDescent="0.2">
      <c r="A39" s="1" t="s">
        <v>37</v>
      </c>
    </row>
    <row r="40" spans="1:1" ht="30" customHeight="1" x14ac:dyDescent="0.25">
      <c r="A40" s="3" t="s">
        <v>38</v>
      </c>
    </row>
    <row r="41" spans="1:1" ht="30" x14ac:dyDescent="0.2">
      <c r="A41" s="1" t="s">
        <v>39</v>
      </c>
    </row>
    <row r="42" spans="1:1" ht="30" customHeight="1" x14ac:dyDescent="0.25">
      <c r="A42" s="3" t="s">
        <v>40</v>
      </c>
    </row>
    <row r="43" spans="1:1" x14ac:dyDescent="0.2">
      <c r="A43" s="1" t="s">
        <v>41</v>
      </c>
    </row>
    <row r="44" spans="1:1" x14ac:dyDescent="0.2">
      <c r="A44" s="1" t="s">
        <v>42</v>
      </c>
    </row>
    <row r="45" spans="1:1" x14ac:dyDescent="0.2">
      <c r="A45" s="1" t="s">
        <v>43</v>
      </c>
    </row>
    <row r="46" spans="1:1" x14ac:dyDescent="0.2">
      <c r="A46" s="1" t="s">
        <v>44</v>
      </c>
    </row>
    <row r="47" spans="1:1" x14ac:dyDescent="0.2">
      <c r="A47" s="1" t="s">
        <v>45</v>
      </c>
    </row>
    <row r="48" spans="1:1" x14ac:dyDescent="0.2">
      <c r="A48" s="1" t="s">
        <v>46</v>
      </c>
    </row>
    <row r="49" spans="1:1" x14ac:dyDescent="0.2">
      <c r="A49" s="5" t="s">
        <v>47</v>
      </c>
    </row>
    <row r="50" spans="1:1" ht="30" customHeight="1" x14ac:dyDescent="0.25">
      <c r="A50" s="3" t="s">
        <v>48</v>
      </c>
    </row>
    <row r="51" spans="1:1" ht="30" x14ac:dyDescent="0.2">
      <c r="A51" s="1" t="s">
        <v>49</v>
      </c>
    </row>
    <row r="52" spans="1:1" x14ac:dyDescent="0.2">
      <c r="A52" s="5" t="s">
        <v>50</v>
      </c>
    </row>
    <row r="53" spans="1:1" x14ac:dyDescent="0.2">
      <c r="A53" s="1" t="s">
        <v>51</v>
      </c>
    </row>
    <row r="54" spans="1:1" x14ac:dyDescent="0.2">
      <c r="A54" s="5" t="s">
        <v>52</v>
      </c>
    </row>
    <row r="55" spans="1:1" ht="30" x14ac:dyDescent="0.2">
      <c r="A55" s="1" t="s">
        <v>53</v>
      </c>
    </row>
    <row r="56" spans="1:1" ht="30" customHeight="1" x14ac:dyDescent="0.25">
      <c r="A56" s="3" t="s">
        <v>54</v>
      </c>
    </row>
    <row r="57" spans="1:1" x14ac:dyDescent="0.2">
      <c r="A57" s="1" t="s">
        <v>55</v>
      </c>
    </row>
    <row r="58" spans="1:1" x14ac:dyDescent="0.2">
      <c r="A58" s="5" t="s">
        <v>56</v>
      </c>
    </row>
    <row r="59" spans="1:1" x14ac:dyDescent="0.2">
      <c r="A59" s="1" t="s">
        <v>57</v>
      </c>
    </row>
    <row r="60" spans="1:1" ht="30" customHeight="1" x14ac:dyDescent="0.25">
      <c r="A60" s="3" t="s">
        <v>58</v>
      </c>
    </row>
    <row r="61" spans="1:1" ht="30" x14ac:dyDescent="0.2">
      <c r="A61" s="1" t="s">
        <v>59</v>
      </c>
    </row>
    <row r="62" spans="1:1" x14ac:dyDescent="0.2">
      <c r="A62" s="5" t="s">
        <v>60</v>
      </c>
    </row>
    <row r="63" spans="1:1" ht="30" x14ac:dyDescent="0.2">
      <c r="A63" s="1" t="s">
        <v>61</v>
      </c>
    </row>
    <row r="64" spans="1:1" ht="30" x14ac:dyDescent="0.2">
      <c r="A64" s="1" t="s">
        <v>62</v>
      </c>
    </row>
    <row r="65" spans="1:1" x14ac:dyDescent="0.2">
      <c r="A65" s="1" t="s">
        <v>63</v>
      </c>
    </row>
    <row r="66" spans="1:1" ht="30" customHeight="1" x14ac:dyDescent="0.25">
      <c r="A66" s="3" t="s">
        <v>64</v>
      </c>
    </row>
    <row r="67" spans="1:1" x14ac:dyDescent="0.2">
      <c r="A67" s="1" t="s">
        <v>65</v>
      </c>
    </row>
    <row r="68" spans="1:1" ht="30" x14ac:dyDescent="0.2">
      <c r="A68" s="1" t="s">
        <v>66</v>
      </c>
    </row>
    <row r="69" spans="1:1" x14ac:dyDescent="0.2">
      <c r="A69" s="1" t="s">
        <v>67</v>
      </c>
    </row>
    <row r="70" spans="1:1" x14ac:dyDescent="0.2">
      <c r="A70" s="5" t="s">
        <v>68</v>
      </c>
    </row>
    <row r="71" spans="1:1" x14ac:dyDescent="0.2">
      <c r="A71" s="1" t="s">
        <v>69</v>
      </c>
    </row>
    <row r="72" spans="1:1" x14ac:dyDescent="0.2">
      <c r="A72" s="1" t="s">
        <v>70</v>
      </c>
    </row>
    <row r="73" spans="1:1" ht="30" customHeight="1" x14ac:dyDescent="0.25">
      <c r="A73" s="3" t="s">
        <v>71</v>
      </c>
    </row>
    <row r="74" spans="1:1" x14ac:dyDescent="0.2">
      <c r="A74" s="5" t="s">
        <v>17</v>
      </c>
    </row>
    <row r="75" spans="1:1" x14ac:dyDescent="0.2">
      <c r="A75" s="1" t="s">
        <v>72</v>
      </c>
    </row>
    <row r="76" spans="1:1" x14ac:dyDescent="0.2">
      <c r="A76" s="5" t="s">
        <v>73</v>
      </c>
    </row>
    <row r="77" spans="1:1" x14ac:dyDescent="0.2">
      <c r="A77" s="1" t="s">
        <v>74</v>
      </c>
    </row>
    <row r="78" spans="1:1" x14ac:dyDescent="0.2">
      <c r="A78" s="5" t="s">
        <v>75</v>
      </c>
    </row>
    <row r="79" spans="1:1" x14ac:dyDescent="0.2">
      <c r="A79" s="1" t="s">
        <v>76</v>
      </c>
    </row>
    <row r="80" spans="1:1" x14ac:dyDescent="0.2">
      <c r="A80" s="5" t="s">
        <v>77</v>
      </c>
    </row>
    <row r="81" spans="1:1" x14ac:dyDescent="0.2">
      <c r="A81" s="1" t="s">
        <v>78</v>
      </c>
    </row>
    <row r="82" spans="1:1" x14ac:dyDescent="0.2">
      <c r="A82" s="148" t="s">
        <v>79</v>
      </c>
    </row>
    <row r="83" spans="1:1" x14ac:dyDescent="0.2">
      <c r="A83" s="1" t="s">
        <v>80</v>
      </c>
    </row>
    <row r="84" spans="1:1" x14ac:dyDescent="0.2">
      <c r="A84" s="5" t="s">
        <v>81</v>
      </c>
    </row>
    <row r="85" spans="1:1" ht="30" x14ac:dyDescent="0.2">
      <c r="A85" s="1" t="s">
        <v>82</v>
      </c>
    </row>
    <row r="86" spans="1:1" x14ac:dyDescent="0.2">
      <c r="A86" s="5" t="s">
        <v>83</v>
      </c>
    </row>
    <row r="87" spans="1:1" ht="30" x14ac:dyDescent="0.2">
      <c r="A87" s="1" t="s">
        <v>84</v>
      </c>
    </row>
    <row r="88" spans="1:1" x14ac:dyDescent="0.2">
      <c r="A88" s="5" t="s">
        <v>85</v>
      </c>
    </row>
    <row r="89" spans="1:1" x14ac:dyDescent="0.2">
      <c r="A89" s="1" t="s">
        <v>86</v>
      </c>
    </row>
    <row r="90" spans="1:1" x14ac:dyDescent="0.2">
      <c r="A90" s="5" t="s">
        <v>87</v>
      </c>
    </row>
    <row r="91" spans="1:1" x14ac:dyDescent="0.2">
      <c r="A91" s="1" t="s">
        <v>88</v>
      </c>
    </row>
    <row r="92" spans="1:1" x14ac:dyDescent="0.2">
      <c r="A92" s="5" t="s">
        <v>89</v>
      </c>
    </row>
    <row r="93" spans="1:1" ht="45" x14ac:dyDescent="0.2">
      <c r="A93" s="1" t="s">
        <v>90</v>
      </c>
    </row>
    <row r="94" spans="1:1" x14ac:dyDescent="0.2">
      <c r="A94" s="5" t="s">
        <v>91</v>
      </c>
    </row>
    <row r="95" spans="1:1" ht="45" x14ac:dyDescent="0.2">
      <c r="A95" s="1" t="s">
        <v>92</v>
      </c>
    </row>
    <row r="96" spans="1:1" ht="15.75" x14ac:dyDescent="0.25">
      <c r="A96" s="4"/>
    </row>
  </sheetData>
  <hyperlinks>
    <hyperlink ref="A9" r:id="rId1" xr:uid="{00000000-0004-0000-0000-000000000000}"/>
    <hyperlink ref="A16" r:id="rId2" xr:uid="{00000000-0004-0000-0000-000001000000}"/>
    <hyperlink ref="A18" r:id="rId3" xr:uid="{00000000-0004-0000-0000-000002000000}"/>
    <hyperlink ref="A20" r:id="rId4" xr:uid="{00000000-0004-0000-0000-000003000000}"/>
    <hyperlink ref="A25" r:id="rId5" xr:uid="{00000000-0004-0000-0000-000004000000}"/>
    <hyperlink ref="A27" r:id="rId6" xr:uid="{00000000-0004-0000-0000-000005000000}"/>
    <hyperlink ref="A29" r:id="rId7" xr:uid="{00000000-0004-0000-0000-000006000000}"/>
    <hyperlink ref="A35" r:id="rId8" xr:uid="{00000000-0004-0000-0000-000007000000}"/>
    <hyperlink ref="A49" r:id="rId9" xr:uid="{00000000-0004-0000-0000-000008000000}"/>
    <hyperlink ref="A52" r:id="rId10" xr:uid="{00000000-0004-0000-0000-000009000000}"/>
    <hyperlink ref="A54" r:id="rId11" xr:uid="{00000000-0004-0000-0000-00000A000000}"/>
    <hyperlink ref="A58" r:id="rId12" xr:uid="{00000000-0004-0000-0000-00000B000000}"/>
    <hyperlink ref="A62" r:id="rId13" xr:uid="{00000000-0004-0000-0000-00000C000000}"/>
    <hyperlink ref="A70" r:id="rId14" xr:uid="{00000000-0004-0000-0000-00000D000000}"/>
    <hyperlink ref="A74" r:id="rId15" xr:uid="{00000000-0004-0000-0000-00000E000000}"/>
    <hyperlink ref="A76" r:id="rId16" xr:uid="{00000000-0004-0000-0000-00000F000000}"/>
    <hyperlink ref="A78" r:id="rId17" xr:uid="{00000000-0004-0000-0000-000010000000}"/>
    <hyperlink ref="A80" r:id="rId18" xr:uid="{00000000-0004-0000-0000-000011000000}"/>
    <hyperlink ref="A82" r:id="rId19" xr:uid="{00000000-0004-0000-0000-000012000000}"/>
    <hyperlink ref="A84" r:id="rId20" xr:uid="{00000000-0004-0000-0000-000013000000}"/>
    <hyperlink ref="A86" r:id="rId21" xr:uid="{00000000-0004-0000-0000-000014000000}"/>
    <hyperlink ref="A88" r:id="rId22" xr:uid="{00000000-0004-0000-0000-000015000000}"/>
    <hyperlink ref="A90" r:id="rId23" xr:uid="{00000000-0004-0000-0000-000016000000}"/>
    <hyperlink ref="A92" r:id="rId24" xr:uid="{00000000-0004-0000-0000-000017000000}"/>
    <hyperlink ref="A94" r:id="rId25" xr:uid="{00000000-0004-0000-0000-000018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showGridLines="0" workbookViewId="0"/>
  </sheetViews>
  <sheetFormatPr defaultColWidth="11.5546875" defaultRowHeight="15" x14ac:dyDescent="0.2"/>
  <cols>
    <col min="1" max="1" width="20.6640625" customWidth="1"/>
    <col min="2" max="2" width="80.6640625" customWidth="1"/>
  </cols>
  <sheetData>
    <row r="1" spans="1:2" ht="20.25" x14ac:dyDescent="0.3">
      <c r="A1" s="6" t="s">
        <v>93</v>
      </c>
    </row>
    <row r="2" spans="1:2" x14ac:dyDescent="0.2">
      <c r="A2" t="s">
        <v>94</v>
      </c>
    </row>
    <row r="3" spans="1:2" ht="15.75" x14ac:dyDescent="0.2">
      <c r="A3" s="7" t="s">
        <v>95</v>
      </c>
      <c r="B3" s="7" t="s">
        <v>96</v>
      </c>
    </row>
    <row r="4" spans="1:2" ht="21" customHeight="1" x14ac:dyDescent="0.2">
      <c r="A4" s="9" t="str">
        <f>HYPERLINK("#'Cover_sheet'!A1", "Cover_sheet")</f>
        <v>Cover_sheet</v>
      </c>
      <c r="B4" s="8" t="s">
        <v>0</v>
      </c>
    </row>
    <row r="5" spans="1:2" ht="21" customHeight="1" x14ac:dyDescent="0.2">
      <c r="A5" s="9" t="str">
        <f>HYPERLINK("#'Notes'!A1", "Notes")</f>
        <v>Notes</v>
      </c>
      <c r="B5" s="8" t="s">
        <v>97</v>
      </c>
    </row>
    <row r="6" spans="1:2" ht="21" customHeight="1" x14ac:dyDescent="0.2">
      <c r="A6" s="53" t="str">
        <f>HYPERLINK("#'Country_code_listings'!A1", "Country code listings")</f>
        <v>Country code listings</v>
      </c>
      <c r="B6" s="8" t="s">
        <v>98</v>
      </c>
    </row>
    <row r="7" spans="1:2" ht="21" customHeight="1" x14ac:dyDescent="0.2">
      <c r="A7" s="9" t="str">
        <f>HYPERLINK("#'Table_1'!A1", "Table_1")</f>
        <v>Table_1</v>
      </c>
      <c r="B7" s="8" t="s">
        <v>99</v>
      </c>
    </row>
    <row r="8" spans="1:2" ht="32.450000000000003" customHeight="1" x14ac:dyDescent="0.2">
      <c r="A8" s="9" t="str">
        <f>HYPERLINK("#'Table_2a'!A1", "Table_2a")</f>
        <v>Table_2a</v>
      </c>
      <c r="B8" s="36" t="s">
        <v>100</v>
      </c>
    </row>
    <row r="9" spans="1:2" ht="21" customHeight="1" x14ac:dyDescent="0.2">
      <c r="A9" s="9" t="str">
        <f>HYPERLINK("#'Table_2b'!A1", "Table_2b")</f>
        <v>Table_2b</v>
      </c>
      <c r="B9" s="8" t="s">
        <v>1254</v>
      </c>
    </row>
    <row r="10" spans="1:2" ht="21" customHeight="1" x14ac:dyDescent="0.2">
      <c r="A10" s="9" t="str">
        <f>HYPERLINK("#'Table_3'!A1", "Table_3")</f>
        <v>Table_3</v>
      </c>
      <c r="B10" s="8" t="s">
        <v>101</v>
      </c>
    </row>
    <row r="11" spans="1:2" ht="21" customHeight="1" x14ac:dyDescent="0.2">
      <c r="A11" s="9" t="str">
        <f>HYPERLINK("#'Table_4'!A1", "Table_4")</f>
        <v>Table_4</v>
      </c>
      <c r="B11" s="36" t="s">
        <v>102</v>
      </c>
    </row>
    <row r="12" spans="1:2" ht="21" customHeight="1" x14ac:dyDescent="0.2">
      <c r="A12" s="9" t="str">
        <f>HYPERLINK("#'Table_5'!A1", "Table_5")</f>
        <v>Table_5</v>
      </c>
      <c r="B12" s="8" t="s">
        <v>103</v>
      </c>
    </row>
    <row r="13" spans="1:2" ht="21" customHeight="1" x14ac:dyDescent="0.2">
      <c r="A13" s="9" t="str">
        <f>HYPERLINK("#'Table_6a'!A1", "Table_6a")</f>
        <v>Table_6a</v>
      </c>
      <c r="B13" s="8" t="s">
        <v>104</v>
      </c>
    </row>
    <row r="14" spans="1:2" ht="21" customHeight="1" x14ac:dyDescent="0.2">
      <c r="A14" s="9" t="str">
        <f>HYPERLINK("#'Table_6b'!A1", "Table_6b")</f>
        <v>Table_6b</v>
      </c>
      <c r="B14" s="36" t="s">
        <v>105</v>
      </c>
    </row>
    <row r="15" spans="1:2" ht="21" customHeight="1" x14ac:dyDescent="0.2">
      <c r="A15" s="35" t="str">
        <f>HYPERLINK("#'Table_7'!A1", "Table_7")</f>
        <v>Table_7</v>
      </c>
      <c r="B15" s="36" t="s">
        <v>106</v>
      </c>
    </row>
  </sheetData>
  <phoneticPr fontId="7" type="noConversion"/>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6EFCB-6792-4D59-A109-1C37A3307F24}">
  <sheetPr>
    <pageSetUpPr fitToPage="1"/>
  </sheetPr>
  <dimension ref="A1:F118"/>
  <sheetViews>
    <sheetView workbookViewId="0"/>
  </sheetViews>
  <sheetFormatPr defaultRowHeight="15" x14ac:dyDescent="0.2"/>
  <cols>
    <col min="1" max="1" width="29.77734375" style="46" customWidth="1"/>
    <col min="2" max="2" width="50.5546875" style="46" customWidth="1"/>
    <col min="3" max="3" width="60" style="46" customWidth="1"/>
    <col min="4" max="257" width="8.77734375" style="46" bestFit="1" customWidth="1"/>
    <col min="258" max="258" width="24.44140625" style="46" customWidth="1"/>
    <col min="259" max="259" width="59.77734375" style="46" customWidth="1"/>
    <col min="260" max="513" width="8.77734375" style="46" bestFit="1" customWidth="1"/>
    <col min="514" max="514" width="24.44140625" style="46" customWidth="1"/>
    <col min="515" max="515" width="59.77734375" style="46" customWidth="1"/>
    <col min="516" max="769" width="8.77734375" style="46" bestFit="1" customWidth="1"/>
    <col min="770" max="770" width="24.44140625" style="46" customWidth="1"/>
    <col min="771" max="771" width="59.77734375" style="46" customWidth="1"/>
    <col min="772" max="1025" width="8.77734375" style="46" bestFit="1" customWidth="1"/>
    <col min="1026" max="1026" width="24.44140625" style="46" customWidth="1"/>
    <col min="1027" max="1027" width="59.77734375" style="46" customWidth="1"/>
    <col min="1028" max="1281" width="8.77734375" style="46" bestFit="1" customWidth="1"/>
    <col min="1282" max="1282" width="24.44140625" style="46" customWidth="1"/>
    <col min="1283" max="1283" width="59.77734375" style="46" customWidth="1"/>
    <col min="1284" max="1537" width="8.77734375" style="46" bestFit="1" customWidth="1"/>
    <col min="1538" max="1538" width="24.44140625" style="46" customWidth="1"/>
    <col min="1539" max="1539" width="59.77734375" style="46" customWidth="1"/>
    <col min="1540" max="1793" width="8.77734375" style="46" bestFit="1" customWidth="1"/>
    <col min="1794" max="1794" width="24.44140625" style="46" customWidth="1"/>
    <col min="1795" max="1795" width="59.77734375" style="46" customWidth="1"/>
    <col min="1796" max="2049" width="8.77734375" style="46" bestFit="1" customWidth="1"/>
    <col min="2050" max="2050" width="24.44140625" style="46" customWidth="1"/>
    <col min="2051" max="2051" width="59.77734375" style="46" customWidth="1"/>
    <col min="2052" max="2305" width="8.77734375" style="46" bestFit="1" customWidth="1"/>
    <col min="2306" max="2306" width="24.44140625" style="46" customWidth="1"/>
    <col min="2307" max="2307" width="59.77734375" style="46" customWidth="1"/>
    <col min="2308" max="2561" width="8.77734375" style="46" bestFit="1" customWidth="1"/>
    <col min="2562" max="2562" width="24.44140625" style="46" customWidth="1"/>
    <col min="2563" max="2563" width="59.77734375" style="46" customWidth="1"/>
    <col min="2564" max="2817" width="8.77734375" style="46" bestFit="1" customWidth="1"/>
    <col min="2818" max="2818" width="24.44140625" style="46" customWidth="1"/>
    <col min="2819" max="2819" width="59.77734375" style="46" customWidth="1"/>
    <col min="2820" max="3073" width="8.77734375" style="46" bestFit="1" customWidth="1"/>
    <col min="3074" max="3074" width="24.44140625" style="46" customWidth="1"/>
    <col min="3075" max="3075" width="59.77734375" style="46" customWidth="1"/>
    <col min="3076" max="3329" width="8.77734375" style="46" bestFit="1" customWidth="1"/>
    <col min="3330" max="3330" width="24.44140625" style="46" customWidth="1"/>
    <col min="3331" max="3331" width="59.77734375" style="46" customWidth="1"/>
    <col min="3332" max="3585" width="8.77734375" style="46" bestFit="1" customWidth="1"/>
    <col min="3586" max="3586" width="24.44140625" style="46" customWidth="1"/>
    <col min="3587" max="3587" width="59.77734375" style="46" customWidth="1"/>
    <col min="3588" max="3841" width="8.77734375" style="46" bestFit="1" customWidth="1"/>
    <col min="3842" max="3842" width="24.44140625" style="46" customWidth="1"/>
    <col min="3843" max="3843" width="59.77734375" style="46" customWidth="1"/>
    <col min="3844" max="4097" width="8.77734375" style="46" bestFit="1" customWidth="1"/>
    <col min="4098" max="4098" width="24.44140625" style="46" customWidth="1"/>
    <col min="4099" max="4099" width="59.77734375" style="46" customWidth="1"/>
    <col min="4100" max="4353" width="8.77734375" style="46" bestFit="1" customWidth="1"/>
    <col min="4354" max="4354" width="24.44140625" style="46" customWidth="1"/>
    <col min="4355" max="4355" width="59.77734375" style="46" customWidth="1"/>
    <col min="4356" max="4609" width="8.77734375" style="46" bestFit="1" customWidth="1"/>
    <col min="4610" max="4610" width="24.44140625" style="46" customWidth="1"/>
    <col min="4611" max="4611" width="59.77734375" style="46" customWidth="1"/>
    <col min="4612" max="4865" width="8.77734375" style="46" bestFit="1" customWidth="1"/>
    <col min="4866" max="4866" width="24.44140625" style="46" customWidth="1"/>
    <col min="4867" max="4867" width="59.77734375" style="46" customWidth="1"/>
    <col min="4868" max="5121" width="8.77734375" style="46" bestFit="1" customWidth="1"/>
    <col min="5122" max="5122" width="24.44140625" style="46" customWidth="1"/>
    <col min="5123" max="5123" width="59.77734375" style="46" customWidth="1"/>
    <col min="5124" max="5377" width="8.77734375" style="46" bestFit="1" customWidth="1"/>
    <col min="5378" max="5378" width="24.44140625" style="46" customWidth="1"/>
    <col min="5379" max="5379" width="59.77734375" style="46" customWidth="1"/>
    <col min="5380" max="5633" width="8.77734375" style="46" bestFit="1" customWidth="1"/>
    <col min="5634" max="5634" width="24.44140625" style="46" customWidth="1"/>
    <col min="5635" max="5635" width="59.77734375" style="46" customWidth="1"/>
    <col min="5636" max="5889" width="8.77734375" style="46" bestFit="1" customWidth="1"/>
    <col min="5890" max="5890" width="24.44140625" style="46" customWidth="1"/>
    <col min="5891" max="5891" width="59.77734375" style="46" customWidth="1"/>
    <col min="5892" max="6145" width="8.77734375" style="46" bestFit="1" customWidth="1"/>
    <col min="6146" max="6146" width="24.44140625" style="46" customWidth="1"/>
    <col min="6147" max="6147" width="59.77734375" style="46" customWidth="1"/>
    <col min="6148" max="6401" width="8.77734375" style="46" bestFit="1" customWidth="1"/>
    <col min="6402" max="6402" width="24.44140625" style="46" customWidth="1"/>
    <col min="6403" max="6403" width="59.77734375" style="46" customWidth="1"/>
    <col min="6404" max="6657" width="8.77734375" style="46" bestFit="1" customWidth="1"/>
    <col min="6658" max="6658" width="24.44140625" style="46" customWidth="1"/>
    <col min="6659" max="6659" width="59.77734375" style="46" customWidth="1"/>
    <col min="6660" max="6913" width="8.77734375" style="46" bestFit="1" customWidth="1"/>
    <col min="6914" max="6914" width="24.44140625" style="46" customWidth="1"/>
    <col min="6915" max="6915" width="59.77734375" style="46" customWidth="1"/>
    <col min="6916" max="7169" width="8.77734375" style="46" bestFit="1" customWidth="1"/>
    <col min="7170" max="7170" width="24.44140625" style="46" customWidth="1"/>
    <col min="7171" max="7171" width="59.77734375" style="46" customWidth="1"/>
    <col min="7172" max="7425" width="8.77734375" style="46" bestFit="1" customWidth="1"/>
    <col min="7426" max="7426" width="24.44140625" style="46" customWidth="1"/>
    <col min="7427" max="7427" width="59.77734375" style="46" customWidth="1"/>
    <col min="7428" max="7681" width="8.77734375" style="46" bestFit="1" customWidth="1"/>
    <col min="7682" max="7682" width="24.44140625" style="46" customWidth="1"/>
    <col min="7683" max="7683" width="59.77734375" style="46" customWidth="1"/>
    <col min="7684" max="7937" width="8.77734375" style="46" bestFit="1" customWidth="1"/>
    <col min="7938" max="7938" width="24.44140625" style="46" customWidth="1"/>
    <col min="7939" max="7939" width="59.77734375" style="46" customWidth="1"/>
    <col min="7940" max="8193" width="8.77734375" style="46" bestFit="1" customWidth="1"/>
    <col min="8194" max="8194" width="24.44140625" style="46" customWidth="1"/>
    <col min="8195" max="8195" width="59.77734375" style="46" customWidth="1"/>
    <col min="8196" max="8449" width="8.77734375" style="46" bestFit="1" customWidth="1"/>
    <col min="8450" max="8450" width="24.44140625" style="46" customWidth="1"/>
    <col min="8451" max="8451" width="59.77734375" style="46" customWidth="1"/>
    <col min="8452" max="8705" width="8.77734375" style="46" bestFit="1" customWidth="1"/>
    <col min="8706" max="8706" width="24.44140625" style="46" customWidth="1"/>
    <col min="8707" max="8707" width="59.77734375" style="46" customWidth="1"/>
    <col min="8708" max="8961" width="8.77734375" style="46" bestFit="1" customWidth="1"/>
    <col min="8962" max="8962" width="24.44140625" style="46" customWidth="1"/>
    <col min="8963" max="8963" width="59.77734375" style="46" customWidth="1"/>
    <col min="8964" max="9217" width="8.77734375" style="46" bestFit="1" customWidth="1"/>
    <col min="9218" max="9218" width="24.44140625" style="46" customWidth="1"/>
    <col min="9219" max="9219" width="59.77734375" style="46" customWidth="1"/>
    <col min="9220" max="9473" width="8.77734375" style="46" bestFit="1" customWidth="1"/>
    <col min="9474" max="9474" width="24.44140625" style="46" customWidth="1"/>
    <col min="9475" max="9475" width="59.77734375" style="46" customWidth="1"/>
    <col min="9476" max="9729" width="8.77734375" style="46" bestFit="1" customWidth="1"/>
    <col min="9730" max="9730" width="24.44140625" style="46" customWidth="1"/>
    <col min="9731" max="9731" width="59.77734375" style="46" customWidth="1"/>
    <col min="9732" max="9985" width="8.77734375" style="46" bestFit="1" customWidth="1"/>
    <col min="9986" max="9986" width="24.44140625" style="46" customWidth="1"/>
    <col min="9987" max="9987" width="59.77734375" style="46" customWidth="1"/>
    <col min="9988" max="10241" width="8.77734375" style="46" bestFit="1" customWidth="1"/>
    <col min="10242" max="10242" width="24.44140625" style="46" customWidth="1"/>
    <col min="10243" max="10243" width="59.77734375" style="46" customWidth="1"/>
    <col min="10244" max="10497" width="8.77734375" style="46" bestFit="1" customWidth="1"/>
    <col min="10498" max="10498" width="24.44140625" style="46" customWidth="1"/>
    <col min="10499" max="10499" width="59.77734375" style="46" customWidth="1"/>
    <col min="10500" max="10753" width="8.77734375" style="46" bestFit="1" customWidth="1"/>
    <col min="10754" max="10754" width="24.44140625" style="46" customWidth="1"/>
    <col min="10755" max="10755" width="59.77734375" style="46" customWidth="1"/>
    <col min="10756" max="11009" width="8.77734375" style="46" bestFit="1" customWidth="1"/>
    <col min="11010" max="11010" width="24.44140625" style="46" customWidth="1"/>
    <col min="11011" max="11011" width="59.77734375" style="46" customWidth="1"/>
    <col min="11012" max="11265" width="8.77734375" style="46" bestFit="1" customWidth="1"/>
    <col min="11266" max="11266" width="24.44140625" style="46" customWidth="1"/>
    <col min="11267" max="11267" width="59.77734375" style="46" customWidth="1"/>
    <col min="11268" max="11521" width="8.77734375" style="46" bestFit="1" customWidth="1"/>
    <col min="11522" max="11522" width="24.44140625" style="46" customWidth="1"/>
    <col min="11523" max="11523" width="59.77734375" style="46" customWidth="1"/>
    <col min="11524" max="11777" width="8.77734375" style="46" bestFit="1" customWidth="1"/>
    <col min="11778" max="11778" width="24.44140625" style="46" customWidth="1"/>
    <col min="11779" max="11779" width="59.77734375" style="46" customWidth="1"/>
    <col min="11780" max="12033" width="8.77734375" style="46" bestFit="1" customWidth="1"/>
    <col min="12034" max="12034" width="24.44140625" style="46" customWidth="1"/>
    <col min="12035" max="12035" width="59.77734375" style="46" customWidth="1"/>
    <col min="12036" max="12289" width="8.77734375" style="46" bestFit="1" customWidth="1"/>
    <col min="12290" max="12290" width="24.44140625" style="46" customWidth="1"/>
    <col min="12291" max="12291" width="59.77734375" style="46" customWidth="1"/>
    <col min="12292" max="12545" width="8.77734375" style="46" bestFit="1" customWidth="1"/>
    <col min="12546" max="12546" width="24.44140625" style="46" customWidth="1"/>
    <col min="12547" max="12547" width="59.77734375" style="46" customWidth="1"/>
    <col min="12548" max="12801" width="8.77734375" style="46" bestFit="1" customWidth="1"/>
    <col min="12802" max="12802" width="24.44140625" style="46" customWidth="1"/>
    <col min="12803" max="12803" width="59.77734375" style="46" customWidth="1"/>
    <col min="12804" max="13057" width="8.77734375" style="46" bestFit="1" customWidth="1"/>
    <col min="13058" max="13058" width="24.44140625" style="46" customWidth="1"/>
    <col min="13059" max="13059" width="59.77734375" style="46" customWidth="1"/>
    <col min="13060" max="13313" width="8.77734375" style="46" bestFit="1" customWidth="1"/>
    <col min="13314" max="13314" width="24.44140625" style="46" customWidth="1"/>
    <col min="13315" max="13315" width="59.77734375" style="46" customWidth="1"/>
    <col min="13316" max="13569" width="8.77734375" style="46" bestFit="1" customWidth="1"/>
    <col min="13570" max="13570" width="24.44140625" style="46" customWidth="1"/>
    <col min="13571" max="13571" width="59.77734375" style="46" customWidth="1"/>
    <col min="13572" max="13825" width="8.77734375" style="46" bestFit="1" customWidth="1"/>
    <col min="13826" max="13826" width="24.44140625" style="46" customWidth="1"/>
    <col min="13827" max="13827" width="59.77734375" style="46" customWidth="1"/>
    <col min="13828" max="14081" width="8.77734375" style="46" bestFit="1" customWidth="1"/>
    <col min="14082" max="14082" width="24.44140625" style="46" customWidth="1"/>
    <col min="14083" max="14083" width="59.77734375" style="46" customWidth="1"/>
    <col min="14084" max="14337" width="8.77734375" style="46" bestFit="1" customWidth="1"/>
    <col min="14338" max="14338" width="24.44140625" style="46" customWidth="1"/>
    <col min="14339" max="14339" width="59.77734375" style="46" customWidth="1"/>
    <col min="14340" max="14593" width="8.77734375" style="46" bestFit="1" customWidth="1"/>
    <col min="14594" max="14594" width="24.44140625" style="46" customWidth="1"/>
    <col min="14595" max="14595" width="59.77734375" style="46" customWidth="1"/>
    <col min="14596" max="14849" width="8.77734375" style="46" bestFit="1" customWidth="1"/>
    <col min="14850" max="14850" width="24.44140625" style="46" customWidth="1"/>
    <col min="14851" max="14851" width="59.77734375" style="46" customWidth="1"/>
    <col min="14852" max="15105" width="8.77734375" style="46" bestFit="1" customWidth="1"/>
    <col min="15106" max="15106" width="24.44140625" style="46" customWidth="1"/>
    <col min="15107" max="15107" width="59.77734375" style="46" customWidth="1"/>
    <col min="15108" max="15361" width="8.77734375" style="46" bestFit="1" customWidth="1"/>
    <col min="15362" max="15362" width="24.44140625" style="46" customWidth="1"/>
    <col min="15363" max="15363" width="59.77734375" style="46" customWidth="1"/>
    <col min="15364" max="15617" width="8.77734375" style="46" bestFit="1" customWidth="1"/>
    <col min="15618" max="15618" width="24.44140625" style="46" customWidth="1"/>
    <col min="15619" max="15619" width="59.77734375" style="46" customWidth="1"/>
    <col min="15620" max="15873" width="8.77734375" style="46" bestFit="1" customWidth="1"/>
    <col min="15874" max="15874" width="24.44140625" style="46" customWidth="1"/>
    <col min="15875" max="15875" width="59.77734375" style="46" customWidth="1"/>
    <col min="15876" max="16129" width="8.77734375" style="46" bestFit="1" customWidth="1"/>
    <col min="16130" max="16130" width="24.44140625" style="46" customWidth="1"/>
    <col min="16131" max="16131" width="59.77734375" style="46" customWidth="1"/>
    <col min="16132" max="16384" width="8.77734375" style="46" bestFit="1" customWidth="1"/>
  </cols>
  <sheetData>
    <row r="1" spans="1:6" ht="19.5" x14ac:dyDescent="0.3">
      <c r="A1" s="47" t="s">
        <v>107</v>
      </c>
      <c r="B1" s="47"/>
      <c r="C1" s="48"/>
    </row>
    <row r="2" spans="1:6" x14ac:dyDescent="0.2">
      <c r="A2" s="49" t="s">
        <v>94</v>
      </c>
      <c r="B2" s="49"/>
      <c r="C2" s="49"/>
    </row>
    <row r="3" spans="1:6" ht="15.75" x14ac:dyDescent="0.2">
      <c r="A3" s="54" t="s">
        <v>108</v>
      </c>
      <c r="B3" s="54" t="s">
        <v>109</v>
      </c>
      <c r="C3" s="54" t="s">
        <v>110</v>
      </c>
    </row>
    <row r="4" spans="1:6" ht="60" x14ac:dyDescent="0.2">
      <c r="A4" s="55" t="s">
        <v>111</v>
      </c>
      <c r="B4" s="56" t="s">
        <v>112</v>
      </c>
      <c r="C4" s="56" t="s">
        <v>113</v>
      </c>
    </row>
    <row r="5" spans="1:6" ht="105" x14ac:dyDescent="0.2">
      <c r="A5" s="55" t="s">
        <v>114</v>
      </c>
      <c r="B5" s="56" t="s">
        <v>115</v>
      </c>
      <c r="C5" s="56" t="s">
        <v>116</v>
      </c>
      <c r="F5" s="50"/>
    </row>
    <row r="6" spans="1:6" ht="90" x14ac:dyDescent="0.25">
      <c r="A6" s="56" t="s">
        <v>117</v>
      </c>
      <c r="B6" s="56" t="s">
        <v>118</v>
      </c>
      <c r="C6" s="56" t="s">
        <v>119</v>
      </c>
      <c r="D6" s="51"/>
    </row>
    <row r="7" spans="1:6" ht="105" x14ac:dyDescent="0.25">
      <c r="A7" s="55" t="s">
        <v>120</v>
      </c>
      <c r="B7" s="56" t="s">
        <v>121</v>
      </c>
      <c r="C7" s="56" t="s">
        <v>122</v>
      </c>
      <c r="F7" s="52"/>
    </row>
    <row r="8" spans="1:6" ht="30" x14ac:dyDescent="0.25">
      <c r="A8" s="55" t="s">
        <v>123</v>
      </c>
      <c r="B8" s="56" t="s">
        <v>124</v>
      </c>
      <c r="C8" s="56" t="s">
        <v>124</v>
      </c>
      <c r="E8" s="51"/>
      <c r="F8" s="52"/>
    </row>
    <row r="9" spans="1:6" ht="30" x14ac:dyDescent="0.25">
      <c r="A9" s="55" t="s">
        <v>125</v>
      </c>
      <c r="B9" s="56" t="s">
        <v>126</v>
      </c>
      <c r="C9" s="56" t="s">
        <v>127</v>
      </c>
      <c r="E9" s="51"/>
      <c r="F9" s="52"/>
    </row>
    <row r="10" spans="1:6" ht="90" x14ac:dyDescent="0.25">
      <c r="A10" s="55" t="s">
        <v>128</v>
      </c>
      <c r="B10" s="56" t="s">
        <v>129</v>
      </c>
      <c r="C10" s="56" t="s">
        <v>130</v>
      </c>
      <c r="E10" s="51"/>
      <c r="F10" s="50"/>
    </row>
    <row r="11" spans="1:6" ht="45" x14ac:dyDescent="0.25">
      <c r="A11" s="55" t="s">
        <v>131</v>
      </c>
      <c r="B11" s="56" t="s">
        <v>132</v>
      </c>
      <c r="C11" s="56" t="s">
        <v>132</v>
      </c>
      <c r="E11" s="51"/>
      <c r="F11" s="50"/>
    </row>
    <row r="12" spans="1:6" ht="60" x14ac:dyDescent="0.2">
      <c r="A12" s="55" t="s">
        <v>133</v>
      </c>
      <c r="B12" s="56" t="s">
        <v>134</v>
      </c>
      <c r="C12" s="56" t="s">
        <v>135</v>
      </c>
    </row>
    <row r="13" spans="1:6" ht="15.75" x14ac:dyDescent="0.25">
      <c r="A13" s="55" t="s">
        <v>136</v>
      </c>
      <c r="B13" s="56" t="s">
        <v>137</v>
      </c>
      <c r="C13" s="56" t="s">
        <v>138</v>
      </c>
      <c r="E13" s="51"/>
      <c r="F13" s="52"/>
    </row>
    <row r="14" spans="1:6" ht="30" x14ac:dyDescent="0.2">
      <c r="A14" s="55" t="s">
        <v>139</v>
      </c>
      <c r="B14" s="56" t="s">
        <v>140</v>
      </c>
      <c r="C14" s="56" t="s">
        <v>140</v>
      </c>
      <c r="F14" s="50"/>
    </row>
    <row r="15" spans="1:6" ht="30" x14ac:dyDescent="0.25">
      <c r="A15" s="55" t="s">
        <v>141</v>
      </c>
      <c r="B15" s="56" t="s">
        <v>142</v>
      </c>
      <c r="C15" s="56" t="s">
        <v>143</v>
      </c>
      <c r="E15" s="51"/>
      <c r="F15" s="50"/>
    </row>
    <row r="16" spans="1:6" ht="30" x14ac:dyDescent="0.25">
      <c r="A16" s="55" t="s">
        <v>144</v>
      </c>
      <c r="B16" s="56" t="s">
        <v>145</v>
      </c>
      <c r="C16" s="56" t="s">
        <v>146</v>
      </c>
      <c r="E16" s="51"/>
      <c r="F16" s="50"/>
    </row>
    <row r="17" spans="1:6" ht="60" x14ac:dyDescent="0.2">
      <c r="A17" s="55" t="s">
        <v>147</v>
      </c>
      <c r="B17" s="56" t="s">
        <v>148</v>
      </c>
      <c r="C17" s="56" t="s">
        <v>149</v>
      </c>
    </row>
    <row r="18" spans="1:6" ht="120" x14ac:dyDescent="0.2">
      <c r="A18" s="55" t="s">
        <v>150</v>
      </c>
      <c r="B18" s="56" t="s">
        <v>151</v>
      </c>
      <c r="C18" s="56" t="s">
        <v>152</v>
      </c>
    </row>
    <row r="19" spans="1:6" ht="30" x14ac:dyDescent="0.25">
      <c r="A19" s="55" t="s">
        <v>153</v>
      </c>
      <c r="B19" s="56" t="s">
        <v>154</v>
      </c>
      <c r="C19" s="56" t="s">
        <v>154</v>
      </c>
      <c r="D19" s="51"/>
      <c r="F19" s="52"/>
    </row>
    <row r="20" spans="1:6" ht="75" x14ac:dyDescent="0.25">
      <c r="A20" s="55" t="s">
        <v>155</v>
      </c>
      <c r="B20" s="56" t="s">
        <v>156</v>
      </c>
      <c r="C20" s="56" t="s">
        <v>157</v>
      </c>
      <c r="D20" s="51"/>
      <c r="F20" s="50"/>
    </row>
    <row r="21" spans="1:6" ht="15.75" x14ac:dyDescent="0.25">
      <c r="A21" s="55" t="s">
        <v>158</v>
      </c>
      <c r="B21" s="56" t="s">
        <v>159</v>
      </c>
      <c r="C21" s="56" t="s">
        <v>159</v>
      </c>
      <c r="D21" s="51"/>
      <c r="F21" s="50"/>
    </row>
    <row r="22" spans="1:6" ht="45" x14ac:dyDescent="0.25">
      <c r="A22" s="55" t="s">
        <v>160</v>
      </c>
      <c r="B22" s="56" t="s">
        <v>161</v>
      </c>
      <c r="C22" s="56" t="s">
        <v>162</v>
      </c>
      <c r="D22" s="51"/>
      <c r="E22" s="51"/>
      <c r="F22" s="50"/>
    </row>
    <row r="23" spans="1:6" ht="30" x14ac:dyDescent="0.25">
      <c r="A23" s="55" t="s">
        <v>163</v>
      </c>
      <c r="B23" s="56" t="s">
        <v>164</v>
      </c>
      <c r="C23" s="56" t="s">
        <v>164</v>
      </c>
      <c r="D23" s="51"/>
      <c r="E23" s="51"/>
      <c r="F23" s="50"/>
    </row>
    <row r="24" spans="1:6" ht="30" x14ac:dyDescent="0.25">
      <c r="A24" s="55" t="s">
        <v>165</v>
      </c>
      <c r="B24" s="56" t="s">
        <v>166</v>
      </c>
      <c r="C24" s="56" t="s">
        <v>167</v>
      </c>
      <c r="D24" s="51"/>
      <c r="E24" s="51"/>
      <c r="F24" s="50"/>
    </row>
    <row r="25" spans="1:6" ht="15.75" x14ac:dyDescent="0.25">
      <c r="A25" s="55" t="s">
        <v>168</v>
      </c>
      <c r="B25" s="56" t="s">
        <v>169</v>
      </c>
      <c r="C25" s="56" t="s">
        <v>170</v>
      </c>
      <c r="D25" s="51"/>
      <c r="E25" s="51"/>
    </row>
    <row r="26" spans="1:6" ht="30" x14ac:dyDescent="0.25">
      <c r="A26" s="55" t="s">
        <v>171</v>
      </c>
      <c r="B26" s="56" t="s">
        <v>172</v>
      </c>
      <c r="C26" s="56" t="s">
        <v>173</v>
      </c>
      <c r="D26" s="51"/>
      <c r="E26" s="51"/>
    </row>
    <row r="27" spans="1:6" ht="30" x14ac:dyDescent="0.25">
      <c r="A27" s="55" t="s">
        <v>174</v>
      </c>
      <c r="B27" s="56" t="s">
        <v>175</v>
      </c>
      <c r="C27" s="56" t="s">
        <v>175</v>
      </c>
      <c r="E27" s="51"/>
      <c r="F27" s="52"/>
    </row>
    <row r="28" spans="1:6" ht="165" x14ac:dyDescent="0.2">
      <c r="A28" s="55" t="s">
        <v>176</v>
      </c>
      <c r="B28" s="56" t="s">
        <v>177</v>
      </c>
      <c r="C28" s="56" t="s">
        <v>178</v>
      </c>
    </row>
    <row r="33" spans="4:6" ht="15.75" x14ac:dyDescent="0.25">
      <c r="D33" s="51"/>
    </row>
    <row r="34" spans="4:6" x14ac:dyDescent="0.2">
      <c r="F34" s="50"/>
    </row>
    <row r="35" spans="4:6" ht="15.75" x14ac:dyDescent="0.25">
      <c r="D35" s="51"/>
      <c r="F35" s="50"/>
    </row>
    <row r="36" spans="4:6" ht="15.75" x14ac:dyDescent="0.25">
      <c r="D36" s="51"/>
    </row>
    <row r="37" spans="4:6" ht="15.75" x14ac:dyDescent="0.25">
      <c r="D37" s="51"/>
    </row>
    <row r="38" spans="4:6" ht="15.75" x14ac:dyDescent="0.25">
      <c r="D38" s="51"/>
    </row>
    <row r="39" spans="4:6" ht="15.75" x14ac:dyDescent="0.25">
      <c r="D39" s="51"/>
    </row>
    <row r="40" spans="4:6" ht="15.75" x14ac:dyDescent="0.25">
      <c r="D40" s="51"/>
    </row>
    <row r="41" spans="4:6" ht="15.75" x14ac:dyDescent="0.25">
      <c r="D41" s="51"/>
    </row>
    <row r="42" spans="4:6" ht="15.75" x14ac:dyDescent="0.25">
      <c r="D42" s="51"/>
    </row>
    <row r="43" spans="4:6" ht="15.75" x14ac:dyDescent="0.25">
      <c r="D43" s="51"/>
    </row>
    <row r="44" spans="4:6" ht="15.75" x14ac:dyDescent="0.25">
      <c r="D44" s="51"/>
    </row>
    <row r="45" spans="4:6" ht="15.75" x14ac:dyDescent="0.25">
      <c r="D45" s="51"/>
    </row>
    <row r="46" spans="4:6" ht="15.75" x14ac:dyDescent="0.25">
      <c r="D46" s="51"/>
    </row>
    <row r="47" spans="4:6" ht="15.75" x14ac:dyDescent="0.25">
      <c r="D47" s="51"/>
    </row>
    <row r="48" spans="4:6" ht="15.75" x14ac:dyDescent="0.25">
      <c r="D48" s="51"/>
    </row>
    <row r="49" spans="4:5" ht="15.75" x14ac:dyDescent="0.25">
      <c r="D49" s="51"/>
    </row>
    <row r="50" spans="4:5" ht="15.75" x14ac:dyDescent="0.25">
      <c r="D50" s="51"/>
    </row>
    <row r="51" spans="4:5" ht="15.75" x14ac:dyDescent="0.25">
      <c r="D51" s="51"/>
    </row>
    <row r="52" spans="4:5" ht="15.75" x14ac:dyDescent="0.25">
      <c r="D52" s="51"/>
    </row>
    <row r="53" spans="4:5" ht="15.75" x14ac:dyDescent="0.25">
      <c r="D53" s="51"/>
    </row>
    <row r="54" spans="4:5" ht="15.75" x14ac:dyDescent="0.25">
      <c r="D54" s="51"/>
      <c r="E54" s="51"/>
    </row>
    <row r="55" spans="4:5" ht="15.75" x14ac:dyDescent="0.25">
      <c r="D55" s="51"/>
      <c r="E55" s="51"/>
    </row>
    <row r="56" spans="4:5" ht="15.75" x14ac:dyDescent="0.25">
      <c r="D56" s="51"/>
    </row>
    <row r="57" spans="4:5" ht="15.75" x14ac:dyDescent="0.25">
      <c r="D57" s="51"/>
    </row>
    <row r="58" spans="4:5" ht="15.75" x14ac:dyDescent="0.25">
      <c r="D58" s="51"/>
    </row>
    <row r="59" spans="4:5" ht="15.75" x14ac:dyDescent="0.25">
      <c r="D59" s="51"/>
    </row>
    <row r="60" spans="4:5" ht="15.75" x14ac:dyDescent="0.25">
      <c r="D60" s="51"/>
    </row>
    <row r="61" spans="4:5" ht="15.75" x14ac:dyDescent="0.25">
      <c r="D61" s="51"/>
    </row>
    <row r="62" spans="4:5" ht="15.75" x14ac:dyDescent="0.25">
      <c r="D62" s="51"/>
    </row>
    <row r="63" spans="4:5" ht="15.75" x14ac:dyDescent="0.25">
      <c r="D63" s="51"/>
    </row>
    <row r="64" spans="4:5" ht="15.75" x14ac:dyDescent="0.25">
      <c r="D64" s="51"/>
    </row>
    <row r="65" spans="4:4" ht="15.75" x14ac:dyDescent="0.25">
      <c r="D65" s="51"/>
    </row>
    <row r="66" spans="4:4" ht="15.75" x14ac:dyDescent="0.25">
      <c r="D66" s="51"/>
    </row>
    <row r="71" spans="4:4" ht="15.75" x14ac:dyDescent="0.25">
      <c r="D71" s="51"/>
    </row>
    <row r="72" spans="4:4" ht="15.75" x14ac:dyDescent="0.25">
      <c r="D72" s="51"/>
    </row>
    <row r="74" spans="4:4" ht="15.75" x14ac:dyDescent="0.25">
      <c r="D74" s="51"/>
    </row>
    <row r="75" spans="4:4" ht="15.75" x14ac:dyDescent="0.25">
      <c r="D75" s="51"/>
    </row>
    <row r="76" spans="4:4" ht="15.75" x14ac:dyDescent="0.25">
      <c r="D76" s="51"/>
    </row>
    <row r="77" spans="4:4" ht="15.75" x14ac:dyDescent="0.25">
      <c r="D77" s="51"/>
    </row>
    <row r="80" spans="4:4" ht="15.75" x14ac:dyDescent="0.25">
      <c r="D80" s="51"/>
    </row>
    <row r="81" spans="4:4" ht="15.75" x14ac:dyDescent="0.25">
      <c r="D81" s="51"/>
    </row>
    <row r="82" spans="4:4" ht="15.75" x14ac:dyDescent="0.25">
      <c r="D82" s="51"/>
    </row>
    <row r="83" spans="4:4" ht="15.75" x14ac:dyDescent="0.25">
      <c r="D83" s="51"/>
    </row>
    <row r="84" spans="4:4" ht="15.75" x14ac:dyDescent="0.25">
      <c r="D84" s="51"/>
    </row>
    <row r="85" spans="4:4" ht="15.75" x14ac:dyDescent="0.25">
      <c r="D85" s="51"/>
    </row>
    <row r="118" spans="4:4" ht="15.75" x14ac:dyDescent="0.25">
      <c r="D118" s="51"/>
    </row>
  </sheetData>
  <pageMargins left="0.74803149606299213" right="0.74803149606299213" top="0.98425196850393704" bottom="0.98425196850393704" header="0.51181102362204722" footer="0.51181102362204722"/>
  <pageSetup paperSize="9" scale="51" fitToHeight="0" orientation="portrait"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showGridLines="0" workbookViewId="0"/>
  </sheetViews>
  <sheetFormatPr defaultColWidth="11.5546875" defaultRowHeight="15" x14ac:dyDescent="0.2"/>
  <cols>
    <col min="1" max="1" width="20.6640625" customWidth="1"/>
    <col min="2" max="2" width="80.6640625" customWidth="1"/>
    <col min="3" max="3" width="15.6640625" customWidth="1"/>
  </cols>
  <sheetData>
    <row r="1" spans="1:3" ht="20.25" x14ac:dyDescent="0.3">
      <c r="A1" s="6" t="s">
        <v>179</v>
      </c>
    </row>
    <row r="2" spans="1:3" x14ac:dyDescent="0.2">
      <c r="A2" t="s">
        <v>94</v>
      </c>
    </row>
    <row r="3" spans="1:3" ht="15.75" x14ac:dyDescent="0.2">
      <c r="A3" s="38" t="s">
        <v>180</v>
      </c>
      <c r="B3" s="39" t="s">
        <v>181</v>
      </c>
      <c r="C3" s="40" t="s">
        <v>182</v>
      </c>
    </row>
    <row r="4" spans="1:3" ht="30" x14ac:dyDescent="0.2">
      <c r="A4" s="41" t="s">
        <v>183</v>
      </c>
      <c r="B4" s="42" t="s">
        <v>184</v>
      </c>
      <c r="C4" s="53" t="str">
        <f>HYPERLINK("#'Country_code_listings'!A1", "Country code listings")</f>
        <v>Country code listings</v>
      </c>
    </row>
    <row r="5" spans="1:3" ht="30" x14ac:dyDescent="0.2">
      <c r="A5" s="41" t="s">
        <v>185</v>
      </c>
      <c r="B5" s="42" t="s">
        <v>186</v>
      </c>
      <c r="C5" s="43" t="s">
        <v>187</v>
      </c>
    </row>
    <row r="6" spans="1:3" ht="60" x14ac:dyDescent="0.2">
      <c r="A6" s="41" t="s">
        <v>188</v>
      </c>
      <c r="B6" s="42" t="s">
        <v>189</v>
      </c>
      <c r="C6" s="43" t="s">
        <v>187</v>
      </c>
    </row>
    <row r="7" spans="1:3" ht="30" x14ac:dyDescent="0.2">
      <c r="A7" s="41" t="s">
        <v>190</v>
      </c>
      <c r="B7" s="42" t="s">
        <v>191</v>
      </c>
      <c r="C7" s="43" t="s">
        <v>187</v>
      </c>
    </row>
    <row r="8" spans="1:3" x14ac:dyDescent="0.2">
      <c r="A8" s="41" t="s">
        <v>192</v>
      </c>
      <c r="B8" s="42" t="s">
        <v>193</v>
      </c>
      <c r="C8" s="43" t="s">
        <v>187</v>
      </c>
    </row>
    <row r="9" spans="1:3" ht="45" x14ac:dyDescent="0.2">
      <c r="A9" s="41" t="s">
        <v>194</v>
      </c>
      <c r="B9" s="42" t="s">
        <v>195</v>
      </c>
      <c r="C9" s="44" t="s">
        <v>196</v>
      </c>
    </row>
    <row r="10" spans="1:3" ht="45" x14ac:dyDescent="0.2">
      <c r="A10" s="41" t="s">
        <v>197</v>
      </c>
      <c r="B10" s="42" t="s">
        <v>198</v>
      </c>
      <c r="C10" s="43" t="s">
        <v>187</v>
      </c>
    </row>
    <row r="11" spans="1:3" ht="30" x14ac:dyDescent="0.2">
      <c r="A11" s="41" t="s">
        <v>199</v>
      </c>
      <c r="B11" s="42" t="s">
        <v>200</v>
      </c>
      <c r="C11" s="43" t="s">
        <v>187</v>
      </c>
    </row>
    <row r="12" spans="1:3" x14ac:dyDescent="0.2">
      <c r="A12" s="41" t="s">
        <v>201</v>
      </c>
      <c r="B12" s="42" t="s">
        <v>202</v>
      </c>
      <c r="C12" s="43" t="s">
        <v>187</v>
      </c>
    </row>
    <row r="13" spans="1:3" ht="60" x14ac:dyDescent="0.2">
      <c r="A13" s="41" t="s">
        <v>203</v>
      </c>
      <c r="B13" s="42" t="s">
        <v>204</v>
      </c>
      <c r="C13" s="43" t="s">
        <v>187</v>
      </c>
    </row>
    <row r="14" spans="1:3" ht="30" x14ac:dyDescent="0.2">
      <c r="A14" s="41" t="s">
        <v>205</v>
      </c>
      <c r="B14" s="42" t="s">
        <v>206</v>
      </c>
      <c r="C14" s="43" t="s">
        <v>187</v>
      </c>
    </row>
    <row r="15" spans="1:3" x14ac:dyDescent="0.2">
      <c r="A15" s="41" t="s">
        <v>207</v>
      </c>
      <c r="B15" s="42" t="s">
        <v>208</v>
      </c>
      <c r="C15" s="43" t="s">
        <v>187</v>
      </c>
    </row>
    <row r="16" spans="1:3" ht="75" x14ac:dyDescent="0.2">
      <c r="A16" s="41" t="s">
        <v>209</v>
      </c>
      <c r="B16" s="37" t="s">
        <v>210</v>
      </c>
      <c r="C16" s="27"/>
    </row>
    <row r="17" spans="1:3" ht="45" x14ac:dyDescent="0.2">
      <c r="A17" s="41" t="s">
        <v>211</v>
      </c>
      <c r="B17" s="37" t="s">
        <v>212</v>
      </c>
      <c r="C17" s="53" t="str">
        <f>HYPERLINK("#'Country_code_listings'!A1", "Country code listings")</f>
        <v>Country code listings</v>
      </c>
    </row>
    <row r="18" spans="1:3" ht="30" x14ac:dyDescent="0.2">
      <c r="A18" s="41" t="s">
        <v>213</v>
      </c>
      <c r="B18" s="45" t="s">
        <v>214</v>
      </c>
      <c r="C18" s="26"/>
    </row>
  </sheetData>
  <hyperlinks>
    <hyperlink ref="C9" r:id="rId1" xr:uid="{00000000-0004-0000-0200-000001000000}"/>
  </hyperlinks>
  <pageMargins left="0.7" right="0.7" top="0.75" bottom="0.75" header="0.3" footer="0.3"/>
  <pageSetup paperSize="9" orientation="portrait"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8"/>
  <sheetViews>
    <sheetView showGridLines="0" workbookViewId="0"/>
  </sheetViews>
  <sheetFormatPr defaultColWidth="11.5546875" defaultRowHeight="15" x14ac:dyDescent="0.2"/>
  <cols>
    <col min="1" max="1" width="30.6640625" customWidth="1"/>
    <col min="2" max="19" width="11.6640625" customWidth="1"/>
  </cols>
  <sheetData>
    <row r="1" spans="1:19" ht="20.25" x14ac:dyDescent="0.3">
      <c r="A1" s="6" t="s">
        <v>215</v>
      </c>
    </row>
    <row r="2" spans="1:19" x14ac:dyDescent="0.2">
      <c r="A2" t="s">
        <v>94</v>
      </c>
    </row>
    <row r="3" spans="1:19" x14ac:dyDescent="0.2">
      <c r="A3" t="s">
        <v>216</v>
      </c>
    </row>
    <row r="4" spans="1:19" x14ac:dyDescent="0.2">
      <c r="A4" t="s">
        <v>217</v>
      </c>
    </row>
    <row r="5" spans="1:19" x14ac:dyDescent="0.2">
      <c r="A5" t="s">
        <v>218</v>
      </c>
    </row>
    <row r="6" spans="1:19" ht="15.75" x14ac:dyDescent="0.2">
      <c r="A6" s="12" t="s">
        <v>219</v>
      </c>
      <c r="B6" s="11" t="s">
        <v>220</v>
      </c>
      <c r="C6" s="11" t="s">
        <v>221</v>
      </c>
      <c r="D6" s="11" t="s">
        <v>222</v>
      </c>
      <c r="E6" s="11" t="s">
        <v>223</v>
      </c>
      <c r="F6" s="11" t="s">
        <v>224</v>
      </c>
      <c r="G6" s="11" t="s">
        <v>225</v>
      </c>
      <c r="H6" s="11" t="s">
        <v>226</v>
      </c>
      <c r="I6" s="11" t="s">
        <v>227</v>
      </c>
      <c r="J6" s="11" t="s">
        <v>228</v>
      </c>
      <c r="K6" s="11" t="s">
        <v>229</v>
      </c>
      <c r="L6" s="11" t="s">
        <v>230</v>
      </c>
      <c r="M6" s="11" t="s">
        <v>231</v>
      </c>
      <c r="N6" s="11" t="s">
        <v>232</v>
      </c>
      <c r="O6" s="11" t="s">
        <v>233</v>
      </c>
      <c r="P6" s="11" t="s">
        <v>234</v>
      </c>
      <c r="Q6" s="11" t="s">
        <v>235</v>
      </c>
      <c r="R6" s="11" t="s">
        <v>236</v>
      </c>
      <c r="S6" s="11" t="s">
        <v>237</v>
      </c>
    </row>
    <row r="7" spans="1:19" s="23" customFormat="1" ht="15.75" x14ac:dyDescent="0.25">
      <c r="A7" s="21" t="s">
        <v>238</v>
      </c>
      <c r="B7" s="22">
        <v>585396</v>
      </c>
      <c r="C7" s="22">
        <v>594677</v>
      </c>
      <c r="D7" s="22">
        <v>591073</v>
      </c>
      <c r="E7" s="22">
        <v>605479</v>
      </c>
      <c r="F7" s="22">
        <v>624828</v>
      </c>
      <c r="G7" s="22">
        <v>613936</v>
      </c>
      <c r="H7" s="22">
        <v>640370</v>
      </c>
      <c r="I7" s="22">
        <v>657076</v>
      </c>
      <c r="J7" s="22">
        <v>679106</v>
      </c>
      <c r="K7" s="22">
        <v>696271</v>
      </c>
      <c r="L7" s="22">
        <v>697852</v>
      </c>
      <c r="M7" s="22">
        <v>695233</v>
      </c>
      <c r="N7" s="22">
        <v>698512</v>
      </c>
      <c r="O7" s="22">
        <v>729674</v>
      </c>
      <c r="P7" s="22">
        <v>723913</v>
      </c>
      <c r="Q7" s="22">
        <v>723165</v>
      </c>
      <c r="R7" s="22">
        <v>706248</v>
      </c>
      <c r="S7" s="22">
        <v>708711</v>
      </c>
    </row>
    <row r="8" spans="1:19" s="23" customFormat="1" ht="15.75" x14ac:dyDescent="0.25">
      <c r="A8" s="21" t="s">
        <v>111</v>
      </c>
      <c r="B8" s="22">
        <v>382732</v>
      </c>
      <c r="C8" s="22">
        <v>392984</v>
      </c>
      <c r="D8" s="22">
        <v>403057</v>
      </c>
      <c r="E8" s="22">
        <v>422109</v>
      </c>
      <c r="F8" s="22">
        <v>445055</v>
      </c>
      <c r="G8" s="22">
        <v>434024</v>
      </c>
      <c r="H8" s="22">
        <v>456328</v>
      </c>
      <c r="I8" s="22">
        <v>471476</v>
      </c>
      <c r="J8" s="22">
        <v>486417</v>
      </c>
      <c r="K8" s="22">
        <v>499974</v>
      </c>
      <c r="L8" s="22">
        <v>505588</v>
      </c>
      <c r="M8" s="22">
        <v>507586</v>
      </c>
      <c r="N8" s="22">
        <v>513411</v>
      </c>
      <c r="O8" s="22">
        <v>540572</v>
      </c>
      <c r="P8" s="22">
        <v>539364</v>
      </c>
      <c r="Q8" s="22">
        <v>541321</v>
      </c>
      <c r="R8" s="22">
        <v>532046</v>
      </c>
      <c r="S8" s="22">
        <v>537854</v>
      </c>
    </row>
    <row r="9" spans="1:19" s="23" customFormat="1" ht="15.75" x14ac:dyDescent="0.25">
      <c r="A9" s="21" t="s">
        <v>239</v>
      </c>
      <c r="B9" s="22">
        <v>202612</v>
      </c>
      <c r="C9" s="22">
        <v>201660</v>
      </c>
      <c r="D9" s="22">
        <v>187976</v>
      </c>
      <c r="E9" s="22">
        <v>183309</v>
      </c>
      <c r="F9" s="22">
        <v>179726</v>
      </c>
      <c r="G9" s="22">
        <v>179881</v>
      </c>
      <c r="H9" s="22">
        <v>184003</v>
      </c>
      <c r="I9" s="22">
        <v>185569</v>
      </c>
      <c r="J9" s="22">
        <v>192651</v>
      </c>
      <c r="K9" s="22">
        <v>196254</v>
      </c>
      <c r="L9" s="22">
        <v>192227</v>
      </c>
      <c r="M9" s="22">
        <v>187611</v>
      </c>
      <c r="N9" s="22">
        <v>185075</v>
      </c>
      <c r="O9" s="22">
        <v>189079</v>
      </c>
      <c r="P9" s="22">
        <v>184529</v>
      </c>
      <c r="Q9" s="22">
        <v>181827</v>
      </c>
      <c r="R9" s="22">
        <v>174174</v>
      </c>
      <c r="S9" s="22">
        <v>170834</v>
      </c>
    </row>
    <row r="10" spans="1:19" s="23" customFormat="1" ht="15.75" x14ac:dyDescent="0.25">
      <c r="A10" s="21" t="s">
        <v>114</v>
      </c>
      <c r="B10" s="22">
        <v>43776</v>
      </c>
      <c r="C10" s="22">
        <v>47481</v>
      </c>
      <c r="D10" s="22">
        <v>51859</v>
      </c>
      <c r="E10" s="22">
        <v>58045</v>
      </c>
      <c r="F10" s="22">
        <v>62997</v>
      </c>
      <c r="G10" s="22">
        <v>63736</v>
      </c>
      <c r="H10" s="22">
        <v>67649</v>
      </c>
      <c r="I10" s="22">
        <v>69780</v>
      </c>
      <c r="J10" s="22">
        <v>71478</v>
      </c>
      <c r="K10" s="22">
        <v>71674</v>
      </c>
      <c r="L10" s="22">
        <v>69079</v>
      </c>
      <c r="M10" s="22">
        <v>64070</v>
      </c>
      <c r="N10" s="22">
        <v>60456</v>
      </c>
      <c r="O10" s="22">
        <v>59074</v>
      </c>
      <c r="P10" s="22">
        <v>55206</v>
      </c>
      <c r="Q10" s="22">
        <v>52887</v>
      </c>
      <c r="R10" s="22">
        <v>47694</v>
      </c>
      <c r="S10" s="22">
        <v>44035</v>
      </c>
    </row>
    <row r="11" spans="1:19" x14ac:dyDescent="0.2">
      <c r="A11" s="10" t="s">
        <v>117</v>
      </c>
      <c r="B11" s="14">
        <v>26841</v>
      </c>
      <c r="C11" s="14">
        <v>30275</v>
      </c>
      <c r="D11" s="14">
        <v>34604</v>
      </c>
      <c r="E11" s="14">
        <v>39738</v>
      </c>
      <c r="F11" s="14">
        <v>43666</v>
      </c>
      <c r="G11" s="14">
        <v>44891</v>
      </c>
      <c r="H11" s="14">
        <v>48577</v>
      </c>
      <c r="I11" s="14">
        <v>50693</v>
      </c>
      <c r="J11" s="14">
        <v>51743</v>
      </c>
      <c r="K11" s="14">
        <v>51825</v>
      </c>
      <c r="L11" s="14">
        <v>49489</v>
      </c>
      <c r="M11" s="14">
        <v>45200</v>
      </c>
      <c r="N11" s="14">
        <v>42396</v>
      </c>
      <c r="O11" s="14">
        <v>40822</v>
      </c>
      <c r="P11" s="14">
        <v>37065</v>
      </c>
      <c r="Q11" s="14">
        <v>34196</v>
      </c>
      <c r="R11" s="14">
        <v>29848</v>
      </c>
      <c r="S11" s="14">
        <v>26075</v>
      </c>
    </row>
    <row r="12" spans="1:19" x14ac:dyDescent="0.2">
      <c r="A12" s="10" t="s">
        <v>240</v>
      </c>
      <c r="B12" s="14">
        <v>6943</v>
      </c>
      <c r="C12" s="14">
        <v>7855</v>
      </c>
      <c r="D12" s="14">
        <v>9420</v>
      </c>
      <c r="E12" s="14">
        <v>11107</v>
      </c>
      <c r="F12" s="14">
        <v>13373</v>
      </c>
      <c r="G12" s="14">
        <v>14633</v>
      </c>
      <c r="H12" s="14">
        <v>16737</v>
      </c>
      <c r="I12" s="14">
        <v>18765</v>
      </c>
      <c r="J12" s="14">
        <v>20779</v>
      </c>
      <c r="K12" s="14">
        <v>22382</v>
      </c>
      <c r="L12" s="14">
        <v>22928</v>
      </c>
      <c r="M12" s="14">
        <v>22122</v>
      </c>
      <c r="N12" s="14">
        <v>21275</v>
      </c>
      <c r="O12" s="14">
        <v>21156</v>
      </c>
      <c r="P12" s="14">
        <v>20495</v>
      </c>
      <c r="Q12" s="14">
        <v>19762</v>
      </c>
      <c r="R12" s="14">
        <v>18159</v>
      </c>
      <c r="S12" s="14">
        <v>16101</v>
      </c>
    </row>
    <row r="13" spans="1:19" x14ac:dyDescent="0.2">
      <c r="A13" s="10" t="s">
        <v>241</v>
      </c>
      <c r="B13" s="14">
        <v>10649</v>
      </c>
      <c r="C13" s="14">
        <v>12182</v>
      </c>
      <c r="D13" s="14">
        <v>13718</v>
      </c>
      <c r="E13" s="14">
        <v>15518</v>
      </c>
      <c r="F13" s="14">
        <v>15894</v>
      </c>
      <c r="G13" s="14">
        <v>15713</v>
      </c>
      <c r="H13" s="14">
        <v>16069</v>
      </c>
      <c r="I13" s="14">
        <v>15196</v>
      </c>
      <c r="J13" s="14">
        <v>13717</v>
      </c>
      <c r="K13" s="14">
        <v>11721</v>
      </c>
      <c r="L13" s="14">
        <v>8733</v>
      </c>
      <c r="M13" s="14">
        <v>6101</v>
      </c>
      <c r="N13" s="14">
        <v>4956</v>
      </c>
      <c r="O13" s="14">
        <v>4406</v>
      </c>
      <c r="P13" s="14">
        <v>3497</v>
      </c>
      <c r="Q13" s="14">
        <v>3038</v>
      </c>
      <c r="R13" s="14">
        <v>2379</v>
      </c>
      <c r="S13" s="14">
        <v>1804</v>
      </c>
    </row>
    <row r="14" spans="1:19" s="23" customFormat="1" ht="15.75" x14ac:dyDescent="0.25">
      <c r="A14" s="21" t="s">
        <v>120</v>
      </c>
      <c r="B14" s="22">
        <v>11829</v>
      </c>
      <c r="C14" s="22">
        <v>12373</v>
      </c>
      <c r="D14" s="22">
        <v>12573</v>
      </c>
      <c r="E14" s="22">
        <v>12053</v>
      </c>
      <c r="F14" s="22">
        <v>11974</v>
      </c>
      <c r="G14" s="22">
        <v>11574</v>
      </c>
      <c r="H14" s="22">
        <v>11418</v>
      </c>
      <c r="I14" s="22">
        <v>10599</v>
      </c>
      <c r="J14" s="22">
        <v>10385</v>
      </c>
      <c r="K14" s="22">
        <v>9930</v>
      </c>
      <c r="L14" s="22">
        <v>9209</v>
      </c>
      <c r="M14" s="22">
        <v>8566</v>
      </c>
      <c r="N14" s="22">
        <v>7959</v>
      </c>
      <c r="O14" s="22">
        <v>7740</v>
      </c>
      <c r="P14" s="22">
        <v>7401</v>
      </c>
      <c r="Q14" s="22">
        <v>7379</v>
      </c>
      <c r="R14" s="22">
        <v>7136</v>
      </c>
      <c r="S14" s="22">
        <v>7060</v>
      </c>
    </row>
    <row r="15" spans="1:19" s="23" customFormat="1" ht="15.75" x14ac:dyDescent="0.25">
      <c r="A15" s="21" t="s">
        <v>123</v>
      </c>
      <c r="B15" s="22">
        <v>42589</v>
      </c>
      <c r="C15" s="22">
        <v>41139</v>
      </c>
      <c r="D15" s="22">
        <v>36620</v>
      </c>
      <c r="E15" s="22">
        <v>32307</v>
      </c>
      <c r="F15" s="22">
        <v>29145</v>
      </c>
      <c r="G15" s="22">
        <v>29656</v>
      </c>
      <c r="H15" s="22">
        <v>30749</v>
      </c>
      <c r="I15" s="22">
        <v>31153</v>
      </c>
      <c r="J15" s="22">
        <v>32870</v>
      </c>
      <c r="K15" s="22">
        <v>34434</v>
      </c>
      <c r="L15" s="22">
        <v>34952</v>
      </c>
      <c r="M15" s="22">
        <v>35025</v>
      </c>
      <c r="N15" s="22">
        <v>36258</v>
      </c>
      <c r="O15" s="22">
        <v>37824</v>
      </c>
      <c r="P15" s="22">
        <v>38512</v>
      </c>
      <c r="Q15" s="22">
        <v>39809</v>
      </c>
      <c r="R15" s="22">
        <v>39406</v>
      </c>
      <c r="S15" s="22">
        <v>39733</v>
      </c>
    </row>
    <row r="16" spans="1:19" x14ac:dyDescent="0.2">
      <c r="A16" s="10" t="s">
        <v>125</v>
      </c>
      <c r="B16" s="14">
        <v>4951</v>
      </c>
      <c r="C16" s="14">
        <v>4699</v>
      </c>
      <c r="D16" s="14">
        <v>4262</v>
      </c>
      <c r="E16" s="14">
        <v>4256</v>
      </c>
      <c r="F16" s="14">
        <v>4006</v>
      </c>
      <c r="G16" s="14">
        <v>4270</v>
      </c>
      <c r="H16" s="14">
        <v>4145</v>
      </c>
      <c r="I16" s="14">
        <v>3945</v>
      </c>
      <c r="J16" s="14">
        <v>3907</v>
      </c>
      <c r="K16" s="14">
        <v>3901</v>
      </c>
      <c r="L16" s="14">
        <v>3853</v>
      </c>
      <c r="M16" s="14">
        <v>3731</v>
      </c>
      <c r="N16" s="14">
        <v>3661</v>
      </c>
      <c r="O16" s="14">
        <v>3488</v>
      </c>
      <c r="P16" s="14">
        <v>3562</v>
      </c>
      <c r="Q16" s="14">
        <v>3839</v>
      </c>
      <c r="R16" s="14">
        <v>3769</v>
      </c>
      <c r="S16" s="14">
        <v>3555</v>
      </c>
    </row>
    <row r="17" spans="1:19" x14ac:dyDescent="0.2">
      <c r="A17" s="10" t="s">
        <v>128</v>
      </c>
      <c r="B17" s="14">
        <v>22078</v>
      </c>
      <c r="C17" s="14">
        <v>20932</v>
      </c>
      <c r="D17" s="14">
        <v>17644</v>
      </c>
      <c r="E17" s="14">
        <v>13313</v>
      </c>
      <c r="F17" s="14">
        <v>10487</v>
      </c>
      <c r="G17" s="14">
        <v>10468</v>
      </c>
      <c r="H17" s="14">
        <v>10625</v>
      </c>
      <c r="I17" s="14">
        <v>10809</v>
      </c>
      <c r="J17" s="14">
        <v>11381</v>
      </c>
      <c r="K17" s="14">
        <v>12254</v>
      </c>
      <c r="L17" s="14">
        <v>12472</v>
      </c>
      <c r="M17" s="14">
        <v>12612</v>
      </c>
      <c r="N17" s="14">
        <v>12906</v>
      </c>
      <c r="O17" s="14">
        <v>13344</v>
      </c>
      <c r="P17" s="14">
        <v>13067</v>
      </c>
      <c r="Q17" s="14">
        <v>13217</v>
      </c>
      <c r="R17" s="14">
        <v>12861</v>
      </c>
      <c r="S17" s="14">
        <v>12876</v>
      </c>
    </row>
    <row r="18" spans="1:19" x14ac:dyDescent="0.2">
      <c r="A18" s="10" t="s">
        <v>131</v>
      </c>
      <c r="B18" s="14">
        <v>1634</v>
      </c>
      <c r="C18" s="14">
        <v>1687</v>
      </c>
      <c r="D18" s="14">
        <v>1781</v>
      </c>
      <c r="E18" s="14">
        <v>1848</v>
      </c>
      <c r="F18" s="14">
        <v>1838</v>
      </c>
      <c r="G18" s="14">
        <v>1890</v>
      </c>
      <c r="H18" s="14">
        <v>2075</v>
      </c>
      <c r="I18" s="14">
        <v>2117</v>
      </c>
      <c r="J18" s="14">
        <v>2245</v>
      </c>
      <c r="K18" s="14">
        <v>2247</v>
      </c>
      <c r="L18" s="14">
        <v>2343</v>
      </c>
      <c r="M18" s="14">
        <v>2275</v>
      </c>
      <c r="N18" s="14">
        <v>2288</v>
      </c>
      <c r="O18" s="14">
        <v>2356</v>
      </c>
      <c r="P18" s="14">
        <v>2364</v>
      </c>
      <c r="Q18" s="14">
        <v>2599</v>
      </c>
      <c r="R18" s="14">
        <v>2662</v>
      </c>
      <c r="S18" s="14">
        <v>2700</v>
      </c>
    </row>
    <row r="19" spans="1:19" x14ac:dyDescent="0.2">
      <c r="A19" s="10" t="s">
        <v>133</v>
      </c>
      <c r="B19" s="14">
        <v>11036</v>
      </c>
      <c r="C19" s="14">
        <v>10854</v>
      </c>
      <c r="D19" s="14">
        <v>10026</v>
      </c>
      <c r="E19" s="14">
        <v>9887</v>
      </c>
      <c r="F19" s="14">
        <v>9746</v>
      </c>
      <c r="G19" s="14">
        <v>10009</v>
      </c>
      <c r="H19" s="14">
        <v>10755</v>
      </c>
      <c r="I19" s="14">
        <v>11012</v>
      </c>
      <c r="J19" s="14">
        <v>11894</v>
      </c>
      <c r="K19" s="14">
        <v>12368</v>
      </c>
      <c r="L19" s="14">
        <v>12491</v>
      </c>
      <c r="M19" s="14">
        <v>12586</v>
      </c>
      <c r="N19" s="14">
        <v>13299</v>
      </c>
      <c r="O19" s="14">
        <v>14136</v>
      </c>
      <c r="P19" s="14">
        <v>14789</v>
      </c>
      <c r="Q19" s="14">
        <v>15398</v>
      </c>
      <c r="R19" s="14">
        <v>15387</v>
      </c>
      <c r="S19" s="14">
        <v>15725</v>
      </c>
    </row>
    <row r="20" spans="1:19" x14ac:dyDescent="0.2">
      <c r="A20" s="10" t="s">
        <v>136</v>
      </c>
      <c r="B20" s="14">
        <v>2872</v>
      </c>
      <c r="C20" s="14">
        <v>2942</v>
      </c>
      <c r="D20" s="14">
        <v>2883</v>
      </c>
      <c r="E20" s="14">
        <v>2952</v>
      </c>
      <c r="F20" s="14">
        <v>3018</v>
      </c>
      <c r="G20" s="14">
        <v>2985</v>
      </c>
      <c r="H20" s="14">
        <v>3113</v>
      </c>
      <c r="I20" s="14">
        <v>3231</v>
      </c>
      <c r="J20" s="14">
        <v>3395</v>
      </c>
      <c r="K20" s="14">
        <v>3613</v>
      </c>
      <c r="L20" s="14">
        <v>3743</v>
      </c>
      <c r="M20" s="14">
        <v>3765</v>
      </c>
      <c r="N20" s="14">
        <v>4032</v>
      </c>
      <c r="O20" s="14">
        <v>4425</v>
      </c>
      <c r="P20" s="14">
        <v>4651</v>
      </c>
      <c r="Q20" s="14">
        <v>4675</v>
      </c>
      <c r="R20" s="14">
        <v>4654</v>
      </c>
      <c r="S20" s="14">
        <v>4777</v>
      </c>
    </row>
    <row r="21" spans="1:19" s="23" customFormat="1" ht="15.75" x14ac:dyDescent="0.25">
      <c r="A21" s="21" t="s">
        <v>139</v>
      </c>
      <c r="B21" s="22">
        <v>11176</v>
      </c>
      <c r="C21" s="22">
        <v>11298</v>
      </c>
      <c r="D21" s="22">
        <v>11294</v>
      </c>
      <c r="E21" s="22">
        <v>11487</v>
      </c>
      <c r="F21" s="22">
        <v>11439</v>
      </c>
      <c r="G21" s="22">
        <v>10912</v>
      </c>
      <c r="H21" s="22">
        <v>10927</v>
      </c>
      <c r="I21" s="22">
        <v>11097</v>
      </c>
      <c r="J21" s="22">
        <v>11101</v>
      </c>
      <c r="K21" s="22">
        <v>11439</v>
      </c>
      <c r="L21" s="22">
        <v>11344</v>
      </c>
      <c r="M21" s="22">
        <v>11191</v>
      </c>
      <c r="N21" s="22">
        <v>10931</v>
      </c>
      <c r="O21" s="22">
        <v>11317</v>
      </c>
      <c r="P21" s="22">
        <v>11285</v>
      </c>
      <c r="Q21" s="22">
        <v>11494</v>
      </c>
      <c r="R21" s="22">
        <v>11295</v>
      </c>
      <c r="S21" s="22">
        <v>11280</v>
      </c>
    </row>
    <row r="22" spans="1:19" x14ac:dyDescent="0.2">
      <c r="A22" s="10" t="s">
        <v>141</v>
      </c>
      <c r="B22" s="14">
        <v>4453</v>
      </c>
      <c r="C22" s="14">
        <v>4350</v>
      </c>
      <c r="D22" s="14">
        <v>4316</v>
      </c>
      <c r="E22" s="14">
        <v>4257</v>
      </c>
      <c r="F22" s="14">
        <v>4583</v>
      </c>
      <c r="G22" s="14">
        <v>4206</v>
      </c>
      <c r="H22" s="14">
        <v>4338</v>
      </c>
      <c r="I22" s="14">
        <v>4476</v>
      </c>
      <c r="J22" s="14">
        <v>4429</v>
      </c>
      <c r="K22" s="14">
        <v>4633</v>
      </c>
      <c r="L22" s="14">
        <v>4564</v>
      </c>
      <c r="M22" s="14">
        <v>4586</v>
      </c>
      <c r="N22" s="14">
        <v>4382</v>
      </c>
      <c r="O22" s="14">
        <v>4567</v>
      </c>
      <c r="P22" s="14">
        <v>4518</v>
      </c>
      <c r="Q22" s="14">
        <v>4604</v>
      </c>
      <c r="R22" s="14">
        <v>4278</v>
      </c>
      <c r="S22" s="14">
        <v>4422</v>
      </c>
    </row>
    <row r="23" spans="1:19" x14ac:dyDescent="0.2">
      <c r="A23" s="10" t="s">
        <v>144</v>
      </c>
      <c r="B23" s="14">
        <v>543</v>
      </c>
      <c r="C23" s="14">
        <v>540</v>
      </c>
      <c r="D23" s="14">
        <v>565</v>
      </c>
      <c r="E23" s="14">
        <v>513</v>
      </c>
      <c r="F23" s="14">
        <v>494</v>
      </c>
      <c r="G23" s="14">
        <v>427</v>
      </c>
      <c r="H23" s="14">
        <v>412</v>
      </c>
      <c r="I23" s="14">
        <v>428</v>
      </c>
      <c r="J23" s="14">
        <v>410</v>
      </c>
      <c r="K23" s="14">
        <v>402</v>
      </c>
      <c r="L23" s="14">
        <v>414</v>
      </c>
      <c r="M23" s="14">
        <v>403</v>
      </c>
      <c r="N23" s="14">
        <v>365</v>
      </c>
      <c r="O23" s="14">
        <v>345</v>
      </c>
      <c r="P23" s="14">
        <v>373</v>
      </c>
      <c r="Q23" s="14">
        <v>343</v>
      </c>
      <c r="R23" s="14">
        <v>318</v>
      </c>
      <c r="S23" s="14">
        <v>327</v>
      </c>
    </row>
    <row r="24" spans="1:19" x14ac:dyDescent="0.2">
      <c r="A24" s="10" t="s">
        <v>147</v>
      </c>
      <c r="B24" s="14">
        <v>4354</v>
      </c>
      <c r="C24" s="14">
        <v>4398</v>
      </c>
      <c r="D24" s="14">
        <v>4409</v>
      </c>
      <c r="E24" s="14">
        <v>4509</v>
      </c>
      <c r="F24" s="14">
        <v>4238</v>
      </c>
      <c r="G24" s="14">
        <v>4117</v>
      </c>
      <c r="H24" s="14">
        <v>3939</v>
      </c>
      <c r="I24" s="14">
        <v>3813</v>
      </c>
      <c r="J24" s="14">
        <v>3823</v>
      </c>
      <c r="K24" s="14">
        <v>3799</v>
      </c>
      <c r="L24" s="14">
        <v>3594</v>
      </c>
      <c r="M24" s="14">
        <v>3420</v>
      </c>
      <c r="N24" s="14">
        <v>3301</v>
      </c>
      <c r="O24" s="14">
        <v>3285</v>
      </c>
      <c r="P24" s="14">
        <v>3282</v>
      </c>
      <c r="Q24" s="14">
        <v>3378</v>
      </c>
      <c r="R24" s="14">
        <v>3295</v>
      </c>
      <c r="S24" s="14">
        <v>3128</v>
      </c>
    </row>
    <row r="25" spans="1:19" x14ac:dyDescent="0.2">
      <c r="A25" s="10" t="s">
        <v>150</v>
      </c>
      <c r="B25" s="14">
        <v>1826</v>
      </c>
      <c r="C25" s="14">
        <v>2010</v>
      </c>
      <c r="D25" s="14">
        <v>2004</v>
      </c>
      <c r="E25" s="14">
        <v>2208</v>
      </c>
      <c r="F25" s="14">
        <v>2124</v>
      </c>
      <c r="G25" s="14">
        <v>2162</v>
      </c>
      <c r="H25" s="14">
        <v>2238</v>
      </c>
      <c r="I25" s="14">
        <v>2380</v>
      </c>
      <c r="J25" s="14">
        <v>2439</v>
      </c>
      <c r="K25" s="14">
        <v>2605</v>
      </c>
      <c r="L25" s="14">
        <v>2772</v>
      </c>
      <c r="M25" s="14">
        <v>2782</v>
      </c>
      <c r="N25" s="14">
        <v>2883</v>
      </c>
      <c r="O25" s="14">
        <v>3120</v>
      </c>
      <c r="P25" s="14">
        <v>3112</v>
      </c>
      <c r="Q25" s="14">
        <v>3169</v>
      </c>
      <c r="R25" s="14">
        <v>3404</v>
      </c>
      <c r="S25" s="14">
        <v>3403</v>
      </c>
    </row>
    <row r="26" spans="1:19" s="23" customFormat="1" ht="15.75" x14ac:dyDescent="0.25">
      <c r="A26" s="21" t="s">
        <v>153</v>
      </c>
      <c r="B26" s="22">
        <v>91265</v>
      </c>
      <c r="C26" s="22">
        <v>87311</v>
      </c>
      <c r="D26" s="22">
        <v>73691</v>
      </c>
      <c r="E26" s="22">
        <v>67342</v>
      </c>
      <c r="F26" s="22">
        <v>61854</v>
      </c>
      <c r="G26" s="22">
        <v>61760</v>
      </c>
      <c r="H26" s="22">
        <v>60881</v>
      </c>
      <c r="I26" s="22">
        <v>60431</v>
      </c>
      <c r="J26" s="22">
        <v>64126</v>
      </c>
      <c r="K26" s="22">
        <v>65961</v>
      </c>
      <c r="L26" s="22">
        <v>64748</v>
      </c>
      <c r="M26" s="22">
        <v>65725</v>
      </c>
      <c r="N26" s="22">
        <v>66324</v>
      </c>
      <c r="O26" s="22">
        <v>69667</v>
      </c>
      <c r="P26" s="22">
        <v>68534</v>
      </c>
      <c r="Q26" s="22">
        <v>66348</v>
      </c>
      <c r="R26" s="22">
        <v>64974</v>
      </c>
      <c r="S26" s="22">
        <v>64861</v>
      </c>
    </row>
    <row r="27" spans="1:19" x14ac:dyDescent="0.2">
      <c r="A27" s="10" t="s">
        <v>155</v>
      </c>
      <c r="B27" s="14">
        <v>11750</v>
      </c>
      <c r="C27" s="14">
        <v>10746</v>
      </c>
      <c r="D27" s="14">
        <v>9651</v>
      </c>
      <c r="E27" s="14">
        <v>9255</v>
      </c>
      <c r="F27" s="14">
        <v>8676</v>
      </c>
      <c r="G27" s="14">
        <v>8387</v>
      </c>
      <c r="H27" s="14">
        <v>8600</v>
      </c>
      <c r="I27" s="14">
        <v>8433</v>
      </c>
      <c r="J27" s="14">
        <v>8269</v>
      </c>
      <c r="K27" s="14">
        <v>7883</v>
      </c>
      <c r="L27" s="14">
        <v>7409</v>
      </c>
      <c r="M27" s="14">
        <v>7073</v>
      </c>
      <c r="N27" s="14">
        <v>6773</v>
      </c>
      <c r="O27" s="14">
        <v>6781</v>
      </c>
      <c r="P27" s="14">
        <v>6793</v>
      </c>
      <c r="Q27" s="14">
        <v>6657</v>
      </c>
      <c r="R27" s="14">
        <v>6294</v>
      </c>
      <c r="S27" s="14">
        <v>5640</v>
      </c>
    </row>
    <row r="28" spans="1:19" x14ac:dyDescent="0.2">
      <c r="A28" s="10" t="s">
        <v>158</v>
      </c>
      <c r="B28" s="14">
        <v>451</v>
      </c>
      <c r="C28" s="14">
        <v>433</v>
      </c>
      <c r="D28" s="14">
        <v>394</v>
      </c>
      <c r="E28" s="14">
        <v>352</v>
      </c>
      <c r="F28" s="14">
        <v>368</v>
      </c>
      <c r="G28" s="14">
        <v>415</v>
      </c>
      <c r="H28" s="14">
        <v>363</v>
      </c>
      <c r="I28" s="14">
        <v>432</v>
      </c>
      <c r="J28" s="14">
        <v>397</v>
      </c>
      <c r="K28" s="14">
        <v>403</v>
      </c>
      <c r="L28" s="14">
        <v>422</v>
      </c>
      <c r="M28" s="14">
        <v>376</v>
      </c>
      <c r="N28" s="14">
        <v>364</v>
      </c>
      <c r="O28" s="14">
        <v>375</v>
      </c>
      <c r="P28" s="14">
        <v>360</v>
      </c>
      <c r="Q28" s="14">
        <v>296</v>
      </c>
      <c r="R28" s="14">
        <v>303</v>
      </c>
      <c r="S28" s="14">
        <v>305</v>
      </c>
    </row>
    <row r="29" spans="1:19" x14ac:dyDescent="0.2">
      <c r="A29" s="10" t="s">
        <v>160</v>
      </c>
      <c r="B29" s="14">
        <v>3968</v>
      </c>
      <c r="C29" s="14">
        <v>4336</v>
      </c>
      <c r="D29" s="14">
        <v>4042</v>
      </c>
      <c r="E29" s="14">
        <v>4075</v>
      </c>
      <c r="F29" s="14">
        <v>3871</v>
      </c>
      <c r="G29" s="14">
        <v>4129</v>
      </c>
      <c r="H29" s="14">
        <v>4614</v>
      </c>
      <c r="I29" s="14">
        <v>4765</v>
      </c>
      <c r="J29" s="14">
        <v>5346</v>
      </c>
      <c r="K29" s="14">
        <v>5836</v>
      </c>
      <c r="L29" s="14">
        <v>5538</v>
      </c>
      <c r="M29" s="14">
        <v>6073</v>
      </c>
      <c r="N29" s="14">
        <v>5605</v>
      </c>
      <c r="O29" s="14">
        <v>6541</v>
      </c>
      <c r="P29" s="14">
        <v>5928</v>
      </c>
      <c r="Q29" s="14">
        <v>5931</v>
      </c>
      <c r="R29" s="14">
        <v>5559</v>
      </c>
      <c r="S29" s="14">
        <v>5399</v>
      </c>
    </row>
    <row r="30" spans="1:19" x14ac:dyDescent="0.2">
      <c r="A30" s="10" t="s">
        <v>163</v>
      </c>
      <c r="B30" s="14">
        <v>69023</v>
      </c>
      <c r="C30" s="14">
        <v>65844</v>
      </c>
      <c r="D30" s="14">
        <v>54152</v>
      </c>
      <c r="E30" s="14">
        <v>48645</v>
      </c>
      <c r="F30" s="14">
        <v>44170</v>
      </c>
      <c r="G30" s="14">
        <v>44008</v>
      </c>
      <c r="H30" s="14">
        <v>42556</v>
      </c>
      <c r="I30" s="14">
        <v>42007</v>
      </c>
      <c r="J30" s="14">
        <v>44953</v>
      </c>
      <c r="K30" s="14">
        <v>46409</v>
      </c>
      <c r="L30" s="14">
        <v>45795</v>
      </c>
      <c r="M30" s="14">
        <v>46486</v>
      </c>
      <c r="N30" s="14">
        <v>47755</v>
      </c>
      <c r="O30" s="14">
        <v>49302</v>
      </c>
      <c r="P30" s="14">
        <v>48817</v>
      </c>
      <c r="Q30" s="14">
        <v>46737</v>
      </c>
      <c r="R30" s="14">
        <v>46061</v>
      </c>
      <c r="S30" s="14">
        <v>46412</v>
      </c>
    </row>
    <row r="31" spans="1:19" x14ac:dyDescent="0.2">
      <c r="A31" s="10" t="s">
        <v>242</v>
      </c>
      <c r="B31" s="14">
        <v>27601</v>
      </c>
      <c r="C31" s="14">
        <v>26146</v>
      </c>
      <c r="D31" s="14">
        <v>21513</v>
      </c>
      <c r="E31" s="14">
        <v>17745</v>
      </c>
      <c r="F31" s="14">
        <v>15260</v>
      </c>
      <c r="G31" s="14">
        <v>14404</v>
      </c>
      <c r="H31" s="14">
        <v>13108</v>
      </c>
      <c r="I31" s="14">
        <v>12675</v>
      </c>
      <c r="J31" s="14">
        <v>13476</v>
      </c>
      <c r="K31" s="14">
        <v>13883</v>
      </c>
      <c r="L31" s="14">
        <v>13780</v>
      </c>
      <c r="M31" s="14">
        <v>13734</v>
      </c>
      <c r="N31" s="14">
        <v>14044</v>
      </c>
      <c r="O31" s="14">
        <v>14621</v>
      </c>
      <c r="P31" s="14">
        <v>14892</v>
      </c>
      <c r="Q31" s="14">
        <v>13575</v>
      </c>
      <c r="R31" s="14">
        <v>12499</v>
      </c>
      <c r="S31" s="14">
        <v>12453</v>
      </c>
    </row>
    <row r="32" spans="1:19" x14ac:dyDescent="0.2">
      <c r="A32" s="10" t="s">
        <v>243</v>
      </c>
      <c r="B32" s="14">
        <v>22058</v>
      </c>
      <c r="C32" s="14">
        <v>21524</v>
      </c>
      <c r="D32" s="14">
        <v>17715</v>
      </c>
      <c r="E32" s="14">
        <v>16654</v>
      </c>
      <c r="F32" s="14">
        <v>15791</v>
      </c>
      <c r="G32" s="14">
        <v>16460</v>
      </c>
      <c r="H32" s="14">
        <v>16320</v>
      </c>
      <c r="I32" s="14">
        <v>15996</v>
      </c>
      <c r="J32" s="14">
        <v>17099</v>
      </c>
      <c r="K32" s="14">
        <v>17367</v>
      </c>
      <c r="L32" s="14">
        <v>17342</v>
      </c>
      <c r="M32" s="14">
        <v>17939</v>
      </c>
      <c r="N32" s="14">
        <v>18578</v>
      </c>
      <c r="O32" s="14">
        <v>19091</v>
      </c>
      <c r="P32" s="14">
        <v>18434</v>
      </c>
      <c r="Q32" s="14">
        <v>17840</v>
      </c>
      <c r="R32" s="14">
        <v>18394</v>
      </c>
      <c r="S32" s="14">
        <v>18826</v>
      </c>
    </row>
    <row r="33" spans="1:19" x14ac:dyDescent="0.2">
      <c r="A33" s="10" t="s">
        <v>244</v>
      </c>
      <c r="B33" s="14">
        <v>10334</v>
      </c>
      <c r="C33" s="14">
        <v>9832</v>
      </c>
      <c r="D33" s="14">
        <v>7889</v>
      </c>
      <c r="E33" s="14">
        <v>7007</v>
      </c>
      <c r="F33" s="14">
        <v>6790</v>
      </c>
      <c r="G33" s="14">
        <v>6767</v>
      </c>
      <c r="H33" s="14">
        <v>6774</v>
      </c>
      <c r="I33" s="14">
        <v>7027</v>
      </c>
      <c r="J33" s="14">
        <v>7426</v>
      </c>
      <c r="K33" s="14">
        <v>8106</v>
      </c>
      <c r="L33" s="14">
        <v>7752</v>
      </c>
      <c r="M33" s="14">
        <v>7788</v>
      </c>
      <c r="N33" s="14">
        <v>7982</v>
      </c>
      <c r="O33" s="14">
        <v>8224</v>
      </c>
      <c r="P33" s="14">
        <v>8371</v>
      </c>
      <c r="Q33" s="14">
        <v>8360</v>
      </c>
      <c r="R33" s="14">
        <v>8452</v>
      </c>
      <c r="S33" s="14">
        <v>8629</v>
      </c>
    </row>
    <row r="34" spans="1:19" x14ac:dyDescent="0.2">
      <c r="A34" s="10" t="s">
        <v>165</v>
      </c>
      <c r="B34" s="14">
        <v>6018</v>
      </c>
      <c r="C34" s="14">
        <v>5889</v>
      </c>
      <c r="D34" s="14">
        <v>5405</v>
      </c>
      <c r="E34" s="14">
        <v>4955</v>
      </c>
      <c r="F34" s="14">
        <v>4714</v>
      </c>
      <c r="G34" s="14">
        <v>4755</v>
      </c>
      <c r="H34" s="14">
        <v>4681</v>
      </c>
      <c r="I34" s="14">
        <v>4725</v>
      </c>
      <c r="J34" s="14">
        <v>5117</v>
      </c>
      <c r="K34" s="14">
        <v>5365</v>
      </c>
      <c r="L34" s="14">
        <v>5519</v>
      </c>
      <c r="M34" s="14">
        <v>5639</v>
      </c>
      <c r="N34" s="14">
        <v>5774</v>
      </c>
      <c r="O34" s="14">
        <v>6592</v>
      </c>
      <c r="P34" s="14">
        <v>6561</v>
      </c>
      <c r="Q34" s="14">
        <v>6650</v>
      </c>
      <c r="R34" s="14">
        <v>6679</v>
      </c>
      <c r="S34" s="14">
        <v>6982</v>
      </c>
    </row>
    <row r="35" spans="1:19" s="23" customFormat="1" ht="15.75" x14ac:dyDescent="0.25">
      <c r="A35" s="21" t="s">
        <v>168</v>
      </c>
      <c r="B35" s="22">
        <v>1977</v>
      </c>
      <c r="C35" s="22">
        <v>2058</v>
      </c>
      <c r="D35" s="22">
        <v>1939</v>
      </c>
      <c r="E35" s="22">
        <v>2075</v>
      </c>
      <c r="F35" s="22">
        <v>2317</v>
      </c>
      <c r="G35" s="22">
        <v>2243</v>
      </c>
      <c r="H35" s="22">
        <v>2379</v>
      </c>
      <c r="I35" s="22">
        <v>2509</v>
      </c>
      <c r="J35" s="22">
        <v>2691</v>
      </c>
      <c r="K35" s="22">
        <v>2816</v>
      </c>
      <c r="L35" s="22">
        <v>2895</v>
      </c>
      <c r="M35" s="22">
        <v>3034</v>
      </c>
      <c r="N35" s="22">
        <v>3147</v>
      </c>
      <c r="O35" s="22">
        <v>3457</v>
      </c>
      <c r="P35" s="22">
        <v>3591</v>
      </c>
      <c r="Q35" s="22">
        <v>3910</v>
      </c>
      <c r="R35" s="22">
        <v>3669</v>
      </c>
      <c r="S35" s="22">
        <v>3865</v>
      </c>
    </row>
    <row r="36" spans="1:19" x14ac:dyDescent="0.2">
      <c r="A36" s="10" t="s">
        <v>174</v>
      </c>
      <c r="B36" s="14">
        <v>1817</v>
      </c>
      <c r="C36" s="14">
        <v>1881</v>
      </c>
      <c r="D36" s="14">
        <v>1790</v>
      </c>
      <c r="E36" s="14">
        <v>1921</v>
      </c>
      <c r="F36" s="14">
        <v>2185</v>
      </c>
      <c r="G36" s="14">
        <v>2101</v>
      </c>
      <c r="H36" s="14">
        <v>2219</v>
      </c>
      <c r="I36" s="14">
        <v>2335</v>
      </c>
      <c r="J36" s="14">
        <v>2499</v>
      </c>
      <c r="K36" s="14">
        <v>2602</v>
      </c>
      <c r="L36" s="14">
        <v>2695</v>
      </c>
      <c r="M36" s="14">
        <v>2800</v>
      </c>
      <c r="N36" s="14">
        <v>2921</v>
      </c>
      <c r="O36" s="14">
        <v>3232</v>
      </c>
      <c r="P36" s="14">
        <v>3350</v>
      </c>
      <c r="Q36" s="14">
        <v>3660</v>
      </c>
      <c r="R36" s="14">
        <v>3426</v>
      </c>
      <c r="S36" s="14">
        <v>3612</v>
      </c>
    </row>
    <row r="37" spans="1:19" x14ac:dyDescent="0.2">
      <c r="A37" s="10" t="s">
        <v>176</v>
      </c>
      <c r="B37" s="14">
        <v>160</v>
      </c>
      <c r="C37" s="14">
        <v>177</v>
      </c>
      <c r="D37" s="14">
        <v>149</v>
      </c>
      <c r="E37" s="14">
        <v>154</v>
      </c>
      <c r="F37" s="14">
        <v>132</v>
      </c>
      <c r="G37" s="14">
        <v>142</v>
      </c>
      <c r="H37" s="14">
        <v>160</v>
      </c>
      <c r="I37" s="14">
        <v>174</v>
      </c>
      <c r="J37" s="14">
        <v>192</v>
      </c>
      <c r="K37" s="14">
        <v>214</v>
      </c>
      <c r="L37" s="14">
        <v>200</v>
      </c>
      <c r="M37" s="14">
        <v>234</v>
      </c>
      <c r="N37" s="14">
        <v>226</v>
      </c>
      <c r="O37" s="14">
        <v>223</v>
      </c>
      <c r="P37" s="14">
        <v>239</v>
      </c>
      <c r="Q37" s="14">
        <v>249</v>
      </c>
      <c r="R37" s="14">
        <v>243</v>
      </c>
      <c r="S37" s="14">
        <v>253</v>
      </c>
    </row>
    <row r="38" spans="1:19" s="23" customFormat="1" ht="15.75" x14ac:dyDescent="0.25">
      <c r="A38" s="24" t="s">
        <v>245</v>
      </c>
      <c r="B38" s="25">
        <v>52</v>
      </c>
      <c r="C38" s="25">
        <v>33</v>
      </c>
      <c r="D38" s="25">
        <v>40</v>
      </c>
      <c r="E38" s="25">
        <v>61</v>
      </c>
      <c r="F38" s="25">
        <v>47</v>
      </c>
      <c r="G38" s="25">
        <v>31</v>
      </c>
      <c r="H38" s="25">
        <v>39</v>
      </c>
      <c r="I38" s="25">
        <v>31</v>
      </c>
      <c r="J38" s="25">
        <v>38</v>
      </c>
      <c r="K38" s="25">
        <v>43</v>
      </c>
      <c r="L38" s="25">
        <v>37</v>
      </c>
      <c r="M38" s="25">
        <v>36</v>
      </c>
      <c r="N38" s="25">
        <v>26</v>
      </c>
      <c r="O38" s="25">
        <v>23</v>
      </c>
      <c r="P38" s="25">
        <v>20</v>
      </c>
      <c r="Q38" s="25">
        <v>17</v>
      </c>
      <c r="R38" s="25">
        <v>28</v>
      </c>
      <c r="S38" s="25">
        <v>23</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FAE7B-BFE2-444B-B1C2-DC95C0CC6BDE}">
  <dimension ref="A1:BR26"/>
  <sheetViews>
    <sheetView showGridLines="0" workbookViewId="0"/>
  </sheetViews>
  <sheetFormatPr defaultColWidth="11.5546875" defaultRowHeight="15" x14ac:dyDescent="0.2"/>
  <cols>
    <col min="1" max="1" width="26.6640625" style="58" customWidth="1"/>
    <col min="2" max="3" width="8.6640625" style="58" customWidth="1"/>
    <col min="4" max="4" width="12.6640625" style="58" customWidth="1"/>
    <col min="5" max="6" width="8.6640625" style="58" customWidth="1"/>
    <col min="7" max="7" width="12.6640625" style="58" customWidth="1"/>
    <col min="8" max="9" width="8.6640625" style="58" customWidth="1"/>
    <col min="10" max="10" width="12.6640625" style="58" customWidth="1"/>
    <col min="11" max="12" width="8.6640625" style="58" customWidth="1"/>
    <col min="13" max="13" width="12.6640625" style="58" customWidth="1"/>
    <col min="14" max="15" width="8.6640625" style="58" customWidth="1"/>
    <col min="16" max="16" width="12.6640625" style="58" customWidth="1"/>
    <col min="17" max="18" width="8.6640625" style="58" customWidth="1"/>
    <col min="19" max="19" width="12.6640625" style="58" customWidth="1"/>
    <col min="20" max="21" width="8.6640625" style="58" customWidth="1"/>
    <col min="22" max="22" width="12.6640625" style="58" customWidth="1"/>
    <col min="23" max="24" width="8.6640625" style="58" customWidth="1"/>
    <col min="25" max="25" width="12.6640625" style="58" customWidth="1"/>
    <col min="26" max="27" width="8.6640625" style="58" customWidth="1"/>
    <col min="28" max="28" width="12.6640625" style="58" customWidth="1"/>
    <col min="29" max="30" width="8.6640625" style="58" customWidth="1"/>
    <col min="31" max="31" width="12.6640625" style="58" customWidth="1"/>
    <col min="32" max="33" width="8.6640625" style="58" customWidth="1"/>
    <col min="34" max="34" width="12.6640625" style="58" customWidth="1"/>
    <col min="35" max="36" width="8.6640625" style="58" customWidth="1"/>
    <col min="37" max="37" width="12.6640625" style="58" customWidth="1"/>
    <col min="38" max="39" width="8.6640625" style="58" customWidth="1"/>
    <col min="40" max="40" width="12.6640625" style="58" customWidth="1"/>
    <col min="41" max="42" width="8.6640625" style="58" customWidth="1"/>
    <col min="43" max="43" width="12.6640625" style="58" customWidth="1"/>
    <col min="44" max="45" width="8.6640625" style="58" customWidth="1"/>
    <col min="46" max="46" width="12.6640625" style="58" customWidth="1"/>
    <col min="47" max="48" width="8.6640625" style="58" customWidth="1"/>
    <col min="49" max="49" width="12.6640625" style="58" customWidth="1"/>
    <col min="50" max="51" width="8.6640625" style="58" customWidth="1"/>
    <col min="52" max="52" width="12.6640625" style="58" customWidth="1"/>
    <col min="53" max="54" width="8.6640625" style="58" customWidth="1"/>
    <col min="55" max="55" width="12.6640625" style="58" customWidth="1"/>
    <col min="56" max="57" width="8.6640625" style="58" customWidth="1"/>
    <col min="58" max="58" width="12.6640625" style="58" customWidth="1"/>
    <col min="59" max="60" width="8.6640625" style="58" customWidth="1"/>
    <col min="61" max="61" width="12.6640625" style="58" customWidth="1"/>
    <col min="62" max="63" width="8.6640625" style="58" customWidth="1"/>
    <col min="64" max="64" width="12.6640625" style="58" customWidth="1"/>
    <col min="65" max="66" width="8.6640625" style="58" customWidth="1"/>
    <col min="67" max="67" width="12.6640625" style="58" customWidth="1"/>
    <col min="68" max="69" width="8.6640625" style="58" customWidth="1"/>
    <col min="70" max="70" width="12.6640625" style="58" customWidth="1"/>
    <col min="71" max="16384" width="11.5546875" style="58"/>
  </cols>
  <sheetData>
    <row r="1" spans="1:70" ht="20.25" x14ac:dyDescent="0.3">
      <c r="A1" s="57" t="s">
        <v>246</v>
      </c>
    </row>
    <row r="2" spans="1:70" x14ac:dyDescent="0.2">
      <c r="A2" s="58" t="s">
        <v>94</v>
      </c>
    </row>
    <row r="3" spans="1:70" x14ac:dyDescent="0.2">
      <c r="A3" s="58" t="s">
        <v>247</v>
      </c>
    </row>
    <row r="4" spans="1:70" x14ac:dyDescent="0.2">
      <c r="A4" s="58" t="s">
        <v>217</v>
      </c>
    </row>
    <row r="5" spans="1:70" x14ac:dyDescent="0.2">
      <c r="A5" s="58" t="s">
        <v>218</v>
      </c>
    </row>
    <row r="6" spans="1:70" ht="45.75" x14ac:dyDescent="0.2">
      <c r="A6" s="59" t="s">
        <v>219</v>
      </c>
      <c r="B6" s="63" t="s">
        <v>248</v>
      </c>
      <c r="C6" s="64" t="s">
        <v>249</v>
      </c>
      <c r="D6" s="65" t="s">
        <v>250</v>
      </c>
      <c r="E6" s="63" t="s">
        <v>251</v>
      </c>
      <c r="F6" s="64" t="s">
        <v>252</v>
      </c>
      <c r="G6" s="65" t="s">
        <v>253</v>
      </c>
      <c r="H6" s="63" t="s">
        <v>254</v>
      </c>
      <c r="I6" s="64" t="s">
        <v>255</v>
      </c>
      <c r="J6" s="65" t="s">
        <v>256</v>
      </c>
      <c r="K6" s="63" t="s">
        <v>257</v>
      </c>
      <c r="L6" s="64" t="s">
        <v>258</v>
      </c>
      <c r="M6" s="65" t="s">
        <v>259</v>
      </c>
      <c r="N6" s="63" t="s">
        <v>260</v>
      </c>
      <c r="O6" s="64" t="s">
        <v>261</v>
      </c>
      <c r="P6" s="65" t="s">
        <v>262</v>
      </c>
      <c r="Q6" s="63" t="s">
        <v>263</v>
      </c>
      <c r="R6" s="64" t="s">
        <v>264</v>
      </c>
      <c r="S6" s="65" t="s">
        <v>265</v>
      </c>
      <c r="T6" s="63" t="s">
        <v>266</v>
      </c>
      <c r="U6" s="64" t="s">
        <v>267</v>
      </c>
      <c r="V6" s="65" t="s">
        <v>268</v>
      </c>
      <c r="W6" s="66" t="s">
        <v>269</v>
      </c>
      <c r="X6" s="67" t="s">
        <v>270</v>
      </c>
      <c r="Y6" s="68" t="s">
        <v>271</v>
      </c>
      <c r="Z6" s="66" t="s">
        <v>272</v>
      </c>
      <c r="AA6" s="67" t="s">
        <v>273</v>
      </c>
      <c r="AB6" s="68" t="s">
        <v>274</v>
      </c>
      <c r="AC6" s="66" t="s">
        <v>275</v>
      </c>
      <c r="AD6" s="67" t="s">
        <v>276</v>
      </c>
      <c r="AE6" s="68" t="s">
        <v>277</v>
      </c>
      <c r="AF6" s="66" t="s">
        <v>278</v>
      </c>
      <c r="AG6" s="67" t="s">
        <v>279</v>
      </c>
      <c r="AH6" s="68" t="s">
        <v>280</v>
      </c>
      <c r="AI6" s="66" t="s">
        <v>281</v>
      </c>
      <c r="AJ6" s="67" t="s">
        <v>282</v>
      </c>
      <c r="AK6" s="68" t="s">
        <v>283</v>
      </c>
      <c r="AL6" s="66" t="s">
        <v>284</v>
      </c>
      <c r="AM6" s="67" t="s">
        <v>285</v>
      </c>
      <c r="AN6" s="68" t="s">
        <v>286</v>
      </c>
      <c r="AO6" s="66" t="s">
        <v>287</v>
      </c>
      <c r="AP6" s="67" t="s">
        <v>288</v>
      </c>
      <c r="AQ6" s="68" t="s">
        <v>289</v>
      </c>
      <c r="AR6" s="66" t="s">
        <v>290</v>
      </c>
      <c r="AS6" s="67" t="s">
        <v>291</v>
      </c>
      <c r="AT6" s="68" t="s">
        <v>292</v>
      </c>
      <c r="AU6" s="66" t="s">
        <v>293</v>
      </c>
      <c r="AV6" s="67" t="s">
        <v>294</v>
      </c>
      <c r="AW6" s="68" t="s">
        <v>295</v>
      </c>
      <c r="AX6" s="66" t="s">
        <v>296</v>
      </c>
      <c r="AY6" s="67" t="s">
        <v>297</v>
      </c>
      <c r="AZ6" s="68" t="s">
        <v>298</v>
      </c>
      <c r="BA6" s="66" t="s">
        <v>299</v>
      </c>
      <c r="BB6" s="67" t="s">
        <v>300</v>
      </c>
      <c r="BC6" s="68" t="s">
        <v>301</v>
      </c>
      <c r="BD6" s="66" t="s">
        <v>302</v>
      </c>
      <c r="BE6" s="67" t="s">
        <v>303</v>
      </c>
      <c r="BF6" s="68" t="s">
        <v>304</v>
      </c>
      <c r="BG6" s="66" t="s">
        <v>305</v>
      </c>
      <c r="BH6" s="67" t="s">
        <v>306</v>
      </c>
      <c r="BI6" s="68" t="s">
        <v>307</v>
      </c>
      <c r="BJ6" s="63" t="s">
        <v>308</v>
      </c>
      <c r="BK6" s="67" t="s">
        <v>309</v>
      </c>
      <c r="BL6" s="68" t="s">
        <v>310</v>
      </c>
      <c r="BM6" s="66" t="s">
        <v>311</v>
      </c>
      <c r="BN6" s="67" t="s">
        <v>312</v>
      </c>
      <c r="BO6" s="68" t="s">
        <v>313</v>
      </c>
      <c r="BP6" s="66" t="s">
        <v>314</v>
      </c>
      <c r="BQ6" s="67" t="s">
        <v>315</v>
      </c>
      <c r="BR6" s="68" t="s">
        <v>316</v>
      </c>
    </row>
    <row r="7" spans="1:70" s="62" customFormat="1" ht="15.75" x14ac:dyDescent="0.25">
      <c r="A7" s="69" t="s">
        <v>317</v>
      </c>
      <c r="B7" s="72" t="s">
        <v>318</v>
      </c>
      <c r="C7" s="73">
        <v>202612</v>
      </c>
      <c r="D7" s="74">
        <v>34.6</v>
      </c>
      <c r="E7" s="72" t="s">
        <v>318</v>
      </c>
      <c r="F7" s="73">
        <v>201660</v>
      </c>
      <c r="G7" s="74">
        <v>33.9</v>
      </c>
      <c r="H7" s="72" t="s">
        <v>318</v>
      </c>
      <c r="I7" s="73">
        <v>187975</v>
      </c>
      <c r="J7" s="74">
        <v>31.8</v>
      </c>
      <c r="K7" s="72" t="s">
        <v>318</v>
      </c>
      <c r="L7" s="73">
        <v>183309</v>
      </c>
      <c r="M7" s="74">
        <v>30.3</v>
      </c>
      <c r="N7" s="72" t="s">
        <v>318</v>
      </c>
      <c r="O7" s="73">
        <v>179726</v>
      </c>
      <c r="P7" s="74">
        <v>28.8</v>
      </c>
      <c r="Q7" s="72" t="s">
        <v>318</v>
      </c>
      <c r="R7" s="73">
        <v>179881</v>
      </c>
      <c r="S7" s="74">
        <v>29.3</v>
      </c>
      <c r="T7" s="72" t="s">
        <v>318</v>
      </c>
      <c r="U7" s="73">
        <v>184003</v>
      </c>
      <c r="V7" s="74">
        <v>28.7</v>
      </c>
      <c r="W7" s="72" t="s">
        <v>318</v>
      </c>
      <c r="X7" s="73">
        <v>185569</v>
      </c>
      <c r="Y7" s="74">
        <v>28.2</v>
      </c>
      <c r="Z7" s="72" t="s">
        <v>318</v>
      </c>
      <c r="AA7" s="73">
        <v>192651</v>
      </c>
      <c r="AB7" s="74">
        <v>28.4</v>
      </c>
      <c r="AC7" s="72" t="s">
        <v>318</v>
      </c>
      <c r="AD7" s="73">
        <v>196254</v>
      </c>
      <c r="AE7" s="74">
        <v>28.2</v>
      </c>
      <c r="AF7" s="72" t="s">
        <v>318</v>
      </c>
      <c r="AG7" s="73">
        <v>192227</v>
      </c>
      <c r="AH7" s="74">
        <v>27.5</v>
      </c>
      <c r="AI7" s="72" t="s">
        <v>318</v>
      </c>
      <c r="AJ7" s="73">
        <v>187610</v>
      </c>
      <c r="AK7" s="74">
        <v>27</v>
      </c>
      <c r="AL7" s="72" t="s">
        <v>318</v>
      </c>
      <c r="AM7" s="73">
        <v>185075</v>
      </c>
      <c r="AN7" s="74">
        <v>26.5</v>
      </c>
      <c r="AO7" s="72" t="s">
        <v>318</v>
      </c>
      <c r="AP7" s="73">
        <v>189079</v>
      </c>
      <c r="AQ7" s="74">
        <v>25.9</v>
      </c>
      <c r="AR7" s="72" t="s">
        <v>318</v>
      </c>
      <c r="AS7" s="73">
        <v>184529</v>
      </c>
      <c r="AT7" s="74">
        <v>25.5</v>
      </c>
      <c r="AU7" s="72" t="s">
        <v>318</v>
      </c>
      <c r="AV7" s="73">
        <v>181827</v>
      </c>
      <c r="AW7" s="74">
        <v>25.1</v>
      </c>
      <c r="AX7" s="72" t="s">
        <v>318</v>
      </c>
      <c r="AY7" s="73">
        <v>174174</v>
      </c>
      <c r="AZ7" s="74">
        <v>24.7</v>
      </c>
      <c r="BA7" s="72" t="s">
        <v>318</v>
      </c>
      <c r="BB7" s="73">
        <v>170834</v>
      </c>
      <c r="BC7" s="74">
        <v>24.1</v>
      </c>
      <c r="BD7" s="72" t="s">
        <v>318</v>
      </c>
      <c r="BE7" s="73">
        <v>160340</v>
      </c>
      <c r="BF7" s="74">
        <v>23.2</v>
      </c>
      <c r="BG7" s="72" t="s">
        <v>318</v>
      </c>
      <c r="BH7" s="73">
        <v>146956</v>
      </c>
      <c r="BI7" s="74">
        <v>21.9</v>
      </c>
      <c r="BJ7" s="72" t="s">
        <v>318</v>
      </c>
      <c r="BK7" s="73">
        <v>134189</v>
      </c>
      <c r="BL7" s="74">
        <v>20.8</v>
      </c>
      <c r="BM7" s="72" t="s">
        <v>318</v>
      </c>
      <c r="BN7" s="73">
        <v>124563</v>
      </c>
      <c r="BO7" s="74">
        <v>19.5</v>
      </c>
      <c r="BP7" s="75" t="s">
        <v>318</v>
      </c>
      <c r="BQ7" s="73">
        <v>115360</v>
      </c>
      <c r="BR7" s="74">
        <v>18.600000000000001</v>
      </c>
    </row>
    <row r="8" spans="1:70" x14ac:dyDescent="0.2">
      <c r="A8" s="70" t="s">
        <v>242</v>
      </c>
      <c r="B8" s="76">
        <v>1</v>
      </c>
      <c r="C8" s="77">
        <v>27601</v>
      </c>
      <c r="D8" s="78">
        <v>4.7</v>
      </c>
      <c r="E8" s="76">
        <v>1</v>
      </c>
      <c r="F8" s="77">
        <v>26146</v>
      </c>
      <c r="G8" s="78">
        <v>4.4000000000000004</v>
      </c>
      <c r="H8" s="76">
        <v>1</v>
      </c>
      <c r="I8" s="77">
        <v>21513</v>
      </c>
      <c r="J8" s="78">
        <v>3.6</v>
      </c>
      <c r="K8" s="76">
        <v>1</v>
      </c>
      <c r="L8" s="77">
        <v>17745</v>
      </c>
      <c r="M8" s="78">
        <v>2.9</v>
      </c>
      <c r="N8" s="76">
        <v>3</v>
      </c>
      <c r="O8" s="77">
        <v>15260</v>
      </c>
      <c r="P8" s="78">
        <v>2.4</v>
      </c>
      <c r="Q8" s="76">
        <v>4</v>
      </c>
      <c r="R8" s="77">
        <v>14404</v>
      </c>
      <c r="S8" s="78">
        <v>2.2999999999999998</v>
      </c>
      <c r="T8" s="76">
        <v>4</v>
      </c>
      <c r="U8" s="77">
        <v>13108</v>
      </c>
      <c r="V8" s="103">
        <v>2</v>
      </c>
      <c r="W8" s="76">
        <v>4</v>
      </c>
      <c r="X8" s="77">
        <v>12675</v>
      </c>
      <c r="Y8" s="78">
        <v>1.9</v>
      </c>
      <c r="Z8" s="76">
        <v>4</v>
      </c>
      <c r="AA8" s="77">
        <v>13476</v>
      </c>
      <c r="AB8" s="103">
        <v>2</v>
      </c>
      <c r="AC8" s="76">
        <v>3</v>
      </c>
      <c r="AD8" s="77">
        <v>13883</v>
      </c>
      <c r="AE8" s="103">
        <v>2</v>
      </c>
      <c r="AF8" s="76">
        <v>3</v>
      </c>
      <c r="AG8" s="77">
        <v>13780</v>
      </c>
      <c r="AH8" s="103">
        <v>2</v>
      </c>
      <c r="AI8" s="76">
        <v>3</v>
      </c>
      <c r="AJ8" s="77">
        <v>13735</v>
      </c>
      <c r="AK8" s="103">
        <v>2</v>
      </c>
      <c r="AL8" s="76">
        <v>3</v>
      </c>
      <c r="AM8" s="77">
        <v>14044</v>
      </c>
      <c r="AN8" s="103">
        <v>2</v>
      </c>
      <c r="AO8" s="76">
        <v>3</v>
      </c>
      <c r="AP8" s="77">
        <v>14621</v>
      </c>
      <c r="AQ8" s="103">
        <v>2</v>
      </c>
      <c r="AR8" s="76">
        <v>3</v>
      </c>
      <c r="AS8" s="77">
        <v>14892</v>
      </c>
      <c r="AT8" s="78">
        <v>2.1</v>
      </c>
      <c r="AU8" s="76">
        <v>3</v>
      </c>
      <c r="AV8" s="77">
        <v>13575</v>
      </c>
      <c r="AW8" s="78">
        <v>1.9</v>
      </c>
      <c r="AX8" s="76">
        <v>3</v>
      </c>
      <c r="AY8" s="77">
        <v>12499</v>
      </c>
      <c r="AZ8" s="78">
        <v>1.8</v>
      </c>
      <c r="BA8" s="76">
        <v>3</v>
      </c>
      <c r="BB8" s="77">
        <v>12453</v>
      </c>
      <c r="BC8" s="78">
        <v>1.8</v>
      </c>
      <c r="BD8" s="76">
        <v>2</v>
      </c>
      <c r="BE8" s="77">
        <v>12012</v>
      </c>
      <c r="BF8" s="78">
        <v>1.7</v>
      </c>
      <c r="BG8" s="76">
        <v>2</v>
      </c>
      <c r="BH8" s="77">
        <v>11117</v>
      </c>
      <c r="BI8" s="78">
        <v>1.7</v>
      </c>
      <c r="BJ8" s="76">
        <v>2</v>
      </c>
      <c r="BK8" s="77">
        <v>10079</v>
      </c>
      <c r="BL8" s="78">
        <v>1.6</v>
      </c>
      <c r="BM8" s="76">
        <v>2</v>
      </c>
      <c r="BN8" s="77">
        <v>9146</v>
      </c>
      <c r="BO8" s="78">
        <v>1.4</v>
      </c>
      <c r="BP8" s="79">
        <v>3</v>
      </c>
      <c r="BQ8" s="77">
        <v>7995</v>
      </c>
      <c r="BR8" s="78">
        <v>1.3</v>
      </c>
    </row>
    <row r="9" spans="1:70" x14ac:dyDescent="0.2">
      <c r="A9" s="70" t="s">
        <v>243</v>
      </c>
      <c r="B9" s="76">
        <v>2</v>
      </c>
      <c r="C9" s="77">
        <v>22058</v>
      </c>
      <c r="D9" s="78">
        <v>3.8</v>
      </c>
      <c r="E9" s="76">
        <v>2</v>
      </c>
      <c r="F9" s="77">
        <v>21524</v>
      </c>
      <c r="G9" s="78">
        <v>3.6</v>
      </c>
      <c r="H9" s="76">
        <v>2</v>
      </c>
      <c r="I9" s="77">
        <v>17715</v>
      </c>
      <c r="J9" s="103">
        <v>3</v>
      </c>
      <c r="K9" s="76">
        <v>2</v>
      </c>
      <c r="L9" s="77">
        <v>16654</v>
      </c>
      <c r="M9" s="78">
        <v>2.8</v>
      </c>
      <c r="N9" s="76">
        <v>2</v>
      </c>
      <c r="O9" s="77">
        <v>15791</v>
      </c>
      <c r="P9" s="78">
        <v>2.5</v>
      </c>
      <c r="Q9" s="76">
        <v>1</v>
      </c>
      <c r="R9" s="77">
        <v>16460</v>
      </c>
      <c r="S9" s="78">
        <v>2.7</v>
      </c>
      <c r="T9" s="76">
        <v>2</v>
      </c>
      <c r="U9" s="77">
        <v>16320</v>
      </c>
      <c r="V9" s="78">
        <v>2.5</v>
      </c>
      <c r="W9" s="76">
        <v>2</v>
      </c>
      <c r="X9" s="77">
        <v>15996</v>
      </c>
      <c r="Y9" s="78">
        <v>2.4</v>
      </c>
      <c r="Z9" s="76">
        <v>2</v>
      </c>
      <c r="AA9" s="77">
        <v>17099</v>
      </c>
      <c r="AB9" s="78">
        <v>2.5</v>
      </c>
      <c r="AC9" s="76">
        <v>2</v>
      </c>
      <c r="AD9" s="77">
        <v>17367</v>
      </c>
      <c r="AE9" s="78">
        <v>2.5</v>
      </c>
      <c r="AF9" s="76">
        <v>2</v>
      </c>
      <c r="AG9" s="77">
        <v>17342</v>
      </c>
      <c r="AH9" s="78">
        <v>2.5</v>
      </c>
      <c r="AI9" s="76">
        <v>2</v>
      </c>
      <c r="AJ9" s="77">
        <v>17943</v>
      </c>
      <c r="AK9" s="78">
        <v>2.6</v>
      </c>
      <c r="AL9" s="76">
        <v>2</v>
      </c>
      <c r="AM9" s="77">
        <v>18578</v>
      </c>
      <c r="AN9" s="78">
        <v>2.7</v>
      </c>
      <c r="AO9" s="76">
        <v>2</v>
      </c>
      <c r="AP9" s="77">
        <v>19091</v>
      </c>
      <c r="AQ9" s="78">
        <v>2.6</v>
      </c>
      <c r="AR9" s="76">
        <v>2</v>
      </c>
      <c r="AS9" s="77">
        <v>18434</v>
      </c>
      <c r="AT9" s="78">
        <v>2.5</v>
      </c>
      <c r="AU9" s="76">
        <v>2</v>
      </c>
      <c r="AV9" s="77">
        <v>17840</v>
      </c>
      <c r="AW9" s="78">
        <v>2.5</v>
      </c>
      <c r="AX9" s="76">
        <v>1</v>
      </c>
      <c r="AY9" s="77">
        <v>18394</v>
      </c>
      <c r="AZ9" s="78">
        <v>2.6</v>
      </c>
      <c r="BA9" s="76">
        <v>1</v>
      </c>
      <c r="BB9" s="77">
        <v>18826</v>
      </c>
      <c r="BC9" s="78">
        <v>2.7</v>
      </c>
      <c r="BD9" s="76">
        <v>1</v>
      </c>
      <c r="BE9" s="77">
        <v>17648</v>
      </c>
      <c r="BF9" s="78">
        <v>2.6</v>
      </c>
      <c r="BG9" s="76">
        <v>1</v>
      </c>
      <c r="BH9" s="77">
        <v>17150</v>
      </c>
      <c r="BI9" s="78">
        <v>2.6</v>
      </c>
      <c r="BJ9" s="76">
        <v>1</v>
      </c>
      <c r="BK9" s="77">
        <v>16477</v>
      </c>
      <c r="BL9" s="78">
        <v>2.6</v>
      </c>
      <c r="BM9" s="76">
        <v>1</v>
      </c>
      <c r="BN9" s="77">
        <v>15736</v>
      </c>
      <c r="BO9" s="78">
        <v>2.5</v>
      </c>
      <c r="BP9" s="79">
        <v>1</v>
      </c>
      <c r="BQ9" s="77">
        <v>15107</v>
      </c>
      <c r="BR9" s="78">
        <v>2.4</v>
      </c>
    </row>
    <row r="10" spans="1:70" x14ac:dyDescent="0.2">
      <c r="A10" s="70" t="s">
        <v>319</v>
      </c>
      <c r="B10" s="76">
        <v>3</v>
      </c>
      <c r="C10" s="77">
        <v>15509</v>
      </c>
      <c r="D10" s="78">
        <v>2.6</v>
      </c>
      <c r="E10" s="76">
        <v>3</v>
      </c>
      <c r="F10" s="77">
        <v>14671</v>
      </c>
      <c r="G10" s="78">
        <v>2.5</v>
      </c>
      <c r="H10" s="76">
        <v>4</v>
      </c>
      <c r="I10" s="77">
        <v>12312</v>
      </c>
      <c r="J10" s="78">
        <v>2.1</v>
      </c>
      <c r="K10" s="76">
        <v>5</v>
      </c>
      <c r="L10" s="77">
        <v>8458</v>
      </c>
      <c r="M10" s="78">
        <v>1.4</v>
      </c>
      <c r="N10" s="76">
        <v>6</v>
      </c>
      <c r="O10" s="77">
        <v>5907</v>
      </c>
      <c r="P10" s="78">
        <v>0.9</v>
      </c>
      <c r="Q10" s="76">
        <v>6</v>
      </c>
      <c r="R10" s="77">
        <v>5575</v>
      </c>
      <c r="S10" s="78">
        <v>0.9</v>
      </c>
      <c r="T10" s="76">
        <v>6</v>
      </c>
      <c r="U10" s="77">
        <v>5634</v>
      </c>
      <c r="V10" s="78">
        <v>0.9</v>
      </c>
      <c r="W10" s="76">
        <v>6</v>
      </c>
      <c r="X10" s="77">
        <v>5769</v>
      </c>
      <c r="Y10" s="78">
        <v>0.9</v>
      </c>
      <c r="Z10" s="76">
        <v>6</v>
      </c>
      <c r="AA10" s="77">
        <v>6074</v>
      </c>
      <c r="AB10" s="78">
        <v>0.9</v>
      </c>
      <c r="AC10" s="76">
        <v>6</v>
      </c>
      <c r="AD10" s="77">
        <v>6635</v>
      </c>
      <c r="AE10" s="103">
        <v>1</v>
      </c>
      <c r="AF10" s="76">
        <v>6</v>
      </c>
      <c r="AG10" s="77">
        <v>6829</v>
      </c>
      <c r="AH10" s="103">
        <v>1</v>
      </c>
      <c r="AI10" s="76">
        <v>5</v>
      </c>
      <c r="AJ10" s="77">
        <v>7030</v>
      </c>
      <c r="AK10" s="103">
        <v>1</v>
      </c>
      <c r="AL10" s="76">
        <v>5</v>
      </c>
      <c r="AM10" s="77">
        <v>7267</v>
      </c>
      <c r="AN10" s="103">
        <v>1</v>
      </c>
      <c r="AO10" s="76">
        <v>5</v>
      </c>
      <c r="AP10" s="77">
        <v>7685</v>
      </c>
      <c r="AQ10" s="78">
        <v>1.1000000000000001</v>
      </c>
      <c r="AR10" s="76">
        <v>5</v>
      </c>
      <c r="AS10" s="77">
        <v>7476</v>
      </c>
      <c r="AT10" s="103">
        <v>1</v>
      </c>
      <c r="AU10" s="76">
        <v>5</v>
      </c>
      <c r="AV10" s="77">
        <v>7332</v>
      </c>
      <c r="AW10" s="103">
        <v>1</v>
      </c>
      <c r="AX10" s="76">
        <v>5</v>
      </c>
      <c r="AY10" s="77">
        <v>7101</v>
      </c>
      <c r="AZ10" s="103">
        <v>1</v>
      </c>
      <c r="BA10" s="76">
        <v>5</v>
      </c>
      <c r="BB10" s="77">
        <v>6974</v>
      </c>
      <c r="BC10" s="103">
        <v>1</v>
      </c>
      <c r="BD10" s="76">
        <v>5</v>
      </c>
      <c r="BE10" s="77">
        <v>6495</v>
      </c>
      <c r="BF10" s="78">
        <v>0.9</v>
      </c>
      <c r="BG10" s="76">
        <v>5</v>
      </c>
      <c r="BH10" s="77">
        <v>5854</v>
      </c>
      <c r="BI10" s="78">
        <v>0.9</v>
      </c>
      <c r="BJ10" s="76">
        <v>5</v>
      </c>
      <c r="BK10" s="77">
        <v>5456</v>
      </c>
      <c r="BL10" s="78">
        <v>0.8</v>
      </c>
      <c r="BM10" s="76">
        <v>6</v>
      </c>
      <c r="BN10" s="77">
        <v>4039</v>
      </c>
      <c r="BO10" s="78">
        <v>0.6</v>
      </c>
      <c r="BP10" s="79">
        <v>7</v>
      </c>
      <c r="BQ10" s="77">
        <v>3159</v>
      </c>
      <c r="BR10" s="78">
        <v>0.5</v>
      </c>
    </row>
    <row r="11" spans="1:70" x14ac:dyDescent="0.2">
      <c r="A11" s="70" t="s">
        <v>241</v>
      </c>
      <c r="B11" s="76">
        <v>4</v>
      </c>
      <c r="C11" s="77">
        <v>10649</v>
      </c>
      <c r="D11" s="78">
        <v>1.8</v>
      </c>
      <c r="E11" s="76">
        <v>4</v>
      </c>
      <c r="F11" s="77">
        <v>12182</v>
      </c>
      <c r="G11" s="103">
        <v>2</v>
      </c>
      <c r="H11" s="76">
        <v>3</v>
      </c>
      <c r="I11" s="77">
        <v>13717</v>
      </c>
      <c r="J11" s="78">
        <v>2.2999999999999998</v>
      </c>
      <c r="K11" s="76">
        <v>3</v>
      </c>
      <c r="L11" s="77">
        <v>15518</v>
      </c>
      <c r="M11" s="78">
        <v>2.6</v>
      </c>
      <c r="N11" s="76">
        <v>1</v>
      </c>
      <c r="O11" s="77">
        <v>15894</v>
      </c>
      <c r="P11" s="78">
        <v>2.5</v>
      </c>
      <c r="Q11" s="76">
        <v>2</v>
      </c>
      <c r="R11" s="77">
        <v>15713</v>
      </c>
      <c r="S11" s="78">
        <v>2.6</v>
      </c>
      <c r="T11" s="76">
        <v>3</v>
      </c>
      <c r="U11" s="77">
        <v>16069</v>
      </c>
      <c r="V11" s="78">
        <v>2.5</v>
      </c>
      <c r="W11" s="76">
        <v>3</v>
      </c>
      <c r="X11" s="77">
        <v>15196</v>
      </c>
      <c r="Y11" s="78">
        <v>2.2999999999999998</v>
      </c>
      <c r="Z11" s="76">
        <v>3</v>
      </c>
      <c r="AA11" s="77">
        <v>13717</v>
      </c>
      <c r="AB11" s="103">
        <v>2</v>
      </c>
      <c r="AC11" s="76">
        <v>4</v>
      </c>
      <c r="AD11" s="77">
        <v>11721</v>
      </c>
      <c r="AE11" s="78">
        <v>1.7</v>
      </c>
      <c r="AF11" s="76">
        <v>4</v>
      </c>
      <c r="AG11" s="77">
        <v>8734</v>
      </c>
      <c r="AH11" s="78">
        <v>1.3</v>
      </c>
      <c r="AI11" s="76">
        <v>6</v>
      </c>
      <c r="AJ11" s="77">
        <v>6102</v>
      </c>
      <c r="AK11" s="78">
        <v>0.9</v>
      </c>
      <c r="AL11" s="76">
        <v>6</v>
      </c>
      <c r="AM11" s="77">
        <v>4956</v>
      </c>
      <c r="AN11" s="78">
        <v>0.7</v>
      </c>
      <c r="AO11" s="76">
        <v>9</v>
      </c>
      <c r="AP11" s="77">
        <v>4406</v>
      </c>
      <c r="AQ11" s="78">
        <v>0.6</v>
      </c>
      <c r="AR11" s="76" t="s">
        <v>318</v>
      </c>
      <c r="AS11" s="79" t="s">
        <v>318</v>
      </c>
      <c r="AT11" s="78" t="s">
        <v>318</v>
      </c>
      <c r="AU11" s="76" t="s">
        <v>318</v>
      </c>
      <c r="AV11" s="79" t="s">
        <v>318</v>
      </c>
      <c r="AW11" s="78" t="s">
        <v>318</v>
      </c>
      <c r="AX11" s="76" t="s">
        <v>318</v>
      </c>
      <c r="AY11" s="79" t="s">
        <v>318</v>
      </c>
      <c r="AZ11" s="78" t="s">
        <v>318</v>
      </c>
      <c r="BA11" s="76" t="s">
        <v>318</v>
      </c>
      <c r="BB11" s="79" t="s">
        <v>318</v>
      </c>
      <c r="BC11" s="78" t="s">
        <v>318</v>
      </c>
      <c r="BD11" s="76" t="s">
        <v>318</v>
      </c>
      <c r="BE11" s="79" t="s">
        <v>318</v>
      </c>
      <c r="BF11" s="78" t="s">
        <v>318</v>
      </c>
      <c r="BG11" s="76" t="s">
        <v>318</v>
      </c>
      <c r="BH11" s="79" t="s">
        <v>318</v>
      </c>
      <c r="BI11" s="78" t="s">
        <v>318</v>
      </c>
      <c r="BJ11" s="76" t="s">
        <v>318</v>
      </c>
      <c r="BK11" s="79" t="s">
        <v>318</v>
      </c>
      <c r="BL11" s="78" t="s">
        <v>318</v>
      </c>
      <c r="BM11" s="76" t="s">
        <v>318</v>
      </c>
      <c r="BN11" s="79" t="s">
        <v>318</v>
      </c>
      <c r="BO11" s="78" t="s">
        <v>318</v>
      </c>
      <c r="BP11" s="79" t="s">
        <v>318</v>
      </c>
      <c r="BQ11" s="79" t="s">
        <v>318</v>
      </c>
      <c r="BR11" s="78" t="s">
        <v>318</v>
      </c>
    </row>
    <row r="12" spans="1:70" x14ac:dyDescent="0.2">
      <c r="A12" s="70" t="s">
        <v>244</v>
      </c>
      <c r="B12" s="76">
        <v>5</v>
      </c>
      <c r="C12" s="77">
        <v>10334</v>
      </c>
      <c r="D12" s="78">
        <v>1.8</v>
      </c>
      <c r="E12" s="76">
        <v>5</v>
      </c>
      <c r="F12" s="77">
        <v>9832</v>
      </c>
      <c r="G12" s="78">
        <v>1.7</v>
      </c>
      <c r="H12" s="76">
        <v>6</v>
      </c>
      <c r="I12" s="77">
        <v>7889</v>
      </c>
      <c r="J12" s="78">
        <v>1.3</v>
      </c>
      <c r="K12" s="76">
        <v>6</v>
      </c>
      <c r="L12" s="77">
        <v>7007</v>
      </c>
      <c r="M12" s="78">
        <v>1.2</v>
      </c>
      <c r="N12" s="76">
        <v>5</v>
      </c>
      <c r="O12" s="77">
        <v>6790</v>
      </c>
      <c r="P12" s="78">
        <v>1.1000000000000001</v>
      </c>
      <c r="Q12" s="76">
        <v>5</v>
      </c>
      <c r="R12" s="77">
        <v>6767</v>
      </c>
      <c r="S12" s="78">
        <v>1.1000000000000001</v>
      </c>
      <c r="T12" s="76">
        <v>5</v>
      </c>
      <c r="U12" s="77">
        <v>6774</v>
      </c>
      <c r="V12" s="78">
        <v>1.1000000000000001</v>
      </c>
      <c r="W12" s="76">
        <v>5</v>
      </c>
      <c r="X12" s="77">
        <v>7027</v>
      </c>
      <c r="Y12" s="78">
        <v>1.1000000000000001</v>
      </c>
      <c r="Z12" s="76">
        <v>5</v>
      </c>
      <c r="AA12" s="77">
        <v>7426</v>
      </c>
      <c r="AB12" s="78">
        <v>1.1000000000000001</v>
      </c>
      <c r="AC12" s="76">
        <v>5</v>
      </c>
      <c r="AD12" s="77">
        <v>8106</v>
      </c>
      <c r="AE12" s="78">
        <v>1.2</v>
      </c>
      <c r="AF12" s="76">
        <v>5</v>
      </c>
      <c r="AG12" s="77">
        <v>7752</v>
      </c>
      <c r="AH12" s="78">
        <v>1.1000000000000001</v>
      </c>
      <c r="AI12" s="76">
        <v>4</v>
      </c>
      <c r="AJ12" s="77">
        <v>7783</v>
      </c>
      <c r="AK12" s="78">
        <v>1.1000000000000001</v>
      </c>
      <c r="AL12" s="76">
        <v>4</v>
      </c>
      <c r="AM12" s="77">
        <v>7982</v>
      </c>
      <c r="AN12" s="78">
        <v>1.1000000000000001</v>
      </c>
      <c r="AO12" s="76">
        <v>4</v>
      </c>
      <c r="AP12" s="77">
        <v>8224</v>
      </c>
      <c r="AQ12" s="78">
        <v>1.1000000000000001</v>
      </c>
      <c r="AR12" s="76">
        <v>4</v>
      </c>
      <c r="AS12" s="77">
        <v>8371</v>
      </c>
      <c r="AT12" s="78">
        <v>1.2</v>
      </c>
      <c r="AU12" s="76">
        <v>4</v>
      </c>
      <c r="AV12" s="77">
        <v>8360</v>
      </c>
      <c r="AW12" s="78">
        <v>1.2</v>
      </c>
      <c r="AX12" s="76">
        <v>4</v>
      </c>
      <c r="AY12" s="77">
        <v>8452</v>
      </c>
      <c r="AZ12" s="78">
        <v>1.2</v>
      </c>
      <c r="BA12" s="76">
        <v>4</v>
      </c>
      <c r="BB12" s="77">
        <v>8629</v>
      </c>
      <c r="BC12" s="78">
        <v>1.2</v>
      </c>
      <c r="BD12" s="76">
        <v>4</v>
      </c>
      <c r="BE12" s="77">
        <v>8775</v>
      </c>
      <c r="BF12" s="78">
        <v>1.3</v>
      </c>
      <c r="BG12" s="76">
        <v>3</v>
      </c>
      <c r="BH12" s="77">
        <v>8798</v>
      </c>
      <c r="BI12" s="78">
        <v>1.3</v>
      </c>
      <c r="BJ12" s="76">
        <v>3</v>
      </c>
      <c r="BK12" s="77">
        <v>8217</v>
      </c>
      <c r="BL12" s="78">
        <v>1.3</v>
      </c>
      <c r="BM12" s="76">
        <v>3</v>
      </c>
      <c r="BN12" s="77">
        <v>8857</v>
      </c>
      <c r="BO12" s="78">
        <v>1.4</v>
      </c>
      <c r="BP12" s="79">
        <v>2</v>
      </c>
      <c r="BQ12" s="77">
        <v>8898</v>
      </c>
      <c r="BR12" s="78">
        <v>1.4</v>
      </c>
    </row>
    <row r="13" spans="1:70" x14ac:dyDescent="0.2">
      <c r="A13" s="70" t="s">
        <v>240</v>
      </c>
      <c r="B13" s="76">
        <v>6</v>
      </c>
      <c r="C13" s="77">
        <v>6943</v>
      </c>
      <c r="D13" s="78">
        <v>1.2</v>
      </c>
      <c r="E13" s="76">
        <v>6</v>
      </c>
      <c r="F13" s="77">
        <v>7855</v>
      </c>
      <c r="G13" s="78">
        <v>1.3</v>
      </c>
      <c r="H13" s="76">
        <v>5</v>
      </c>
      <c r="I13" s="77">
        <v>9420</v>
      </c>
      <c r="J13" s="78">
        <v>1.6</v>
      </c>
      <c r="K13" s="76">
        <v>4</v>
      </c>
      <c r="L13" s="77">
        <v>11107</v>
      </c>
      <c r="M13" s="78">
        <v>1.8</v>
      </c>
      <c r="N13" s="76">
        <v>4</v>
      </c>
      <c r="O13" s="77">
        <v>13373</v>
      </c>
      <c r="P13" s="78">
        <v>2.1</v>
      </c>
      <c r="Q13" s="76">
        <v>3</v>
      </c>
      <c r="R13" s="77">
        <v>14633</v>
      </c>
      <c r="S13" s="78">
        <v>2.4</v>
      </c>
      <c r="T13" s="76">
        <v>1</v>
      </c>
      <c r="U13" s="77">
        <v>16737</v>
      </c>
      <c r="V13" s="78">
        <v>2.6</v>
      </c>
      <c r="W13" s="76">
        <v>1</v>
      </c>
      <c r="X13" s="77">
        <v>18765</v>
      </c>
      <c r="Y13" s="78">
        <v>2.9</v>
      </c>
      <c r="Z13" s="76">
        <v>1</v>
      </c>
      <c r="AA13" s="77">
        <v>20779</v>
      </c>
      <c r="AB13" s="78">
        <v>3.1</v>
      </c>
      <c r="AC13" s="76">
        <v>1</v>
      </c>
      <c r="AD13" s="77">
        <v>22382</v>
      </c>
      <c r="AE13" s="78">
        <v>3.2</v>
      </c>
      <c r="AF13" s="76">
        <v>1</v>
      </c>
      <c r="AG13" s="77">
        <v>22928</v>
      </c>
      <c r="AH13" s="78">
        <v>3.3</v>
      </c>
      <c r="AI13" s="76">
        <v>1</v>
      </c>
      <c r="AJ13" s="77">
        <v>22122</v>
      </c>
      <c r="AK13" s="78">
        <v>3.2</v>
      </c>
      <c r="AL13" s="76">
        <v>1</v>
      </c>
      <c r="AM13" s="77">
        <v>21275</v>
      </c>
      <c r="AN13" s="103">
        <v>3</v>
      </c>
      <c r="AO13" s="76">
        <v>1</v>
      </c>
      <c r="AP13" s="77">
        <v>21156</v>
      </c>
      <c r="AQ13" s="78">
        <v>2.9</v>
      </c>
      <c r="AR13" s="76">
        <v>1</v>
      </c>
      <c r="AS13" s="77">
        <v>20495</v>
      </c>
      <c r="AT13" s="78">
        <v>2.8</v>
      </c>
      <c r="AU13" s="76">
        <v>1</v>
      </c>
      <c r="AV13" s="77">
        <v>19762</v>
      </c>
      <c r="AW13" s="78">
        <v>2.7</v>
      </c>
      <c r="AX13" s="76">
        <v>2</v>
      </c>
      <c r="AY13" s="77">
        <v>18159</v>
      </c>
      <c r="AZ13" s="78">
        <v>2.6</v>
      </c>
      <c r="BA13" s="76">
        <v>2</v>
      </c>
      <c r="BB13" s="77">
        <v>16101</v>
      </c>
      <c r="BC13" s="78">
        <v>2.2999999999999998</v>
      </c>
      <c r="BD13" s="76">
        <v>3</v>
      </c>
      <c r="BE13" s="77">
        <v>11952</v>
      </c>
      <c r="BF13" s="78">
        <v>1.7</v>
      </c>
      <c r="BG13" s="76">
        <v>4</v>
      </c>
      <c r="BH13" s="77">
        <v>6620</v>
      </c>
      <c r="BI13" s="103">
        <v>1</v>
      </c>
      <c r="BJ13" s="76">
        <v>9</v>
      </c>
      <c r="BK13" s="77">
        <v>3403</v>
      </c>
      <c r="BL13" s="78">
        <v>0.5</v>
      </c>
      <c r="BM13" s="76" t="s">
        <v>318</v>
      </c>
      <c r="BN13" s="79" t="s">
        <v>318</v>
      </c>
      <c r="BO13" s="78" t="s">
        <v>318</v>
      </c>
      <c r="BP13" s="79" t="s">
        <v>318</v>
      </c>
      <c r="BQ13" s="79" t="s">
        <v>318</v>
      </c>
      <c r="BR13" s="78" t="s">
        <v>318</v>
      </c>
    </row>
    <row r="14" spans="1:70" x14ac:dyDescent="0.2">
      <c r="A14" s="70" t="s">
        <v>320</v>
      </c>
      <c r="B14" s="76">
        <v>7</v>
      </c>
      <c r="C14" s="77">
        <v>4722</v>
      </c>
      <c r="D14" s="78">
        <v>0.8</v>
      </c>
      <c r="E14" s="76">
        <v>7</v>
      </c>
      <c r="F14" s="77">
        <v>4374</v>
      </c>
      <c r="G14" s="78">
        <v>0.7</v>
      </c>
      <c r="H14" s="76">
        <v>9</v>
      </c>
      <c r="I14" s="77">
        <v>3363</v>
      </c>
      <c r="J14" s="78">
        <v>0.6</v>
      </c>
      <c r="K14" s="76" t="s">
        <v>318</v>
      </c>
      <c r="L14" s="77" t="s">
        <v>318</v>
      </c>
      <c r="M14" s="78" t="s">
        <v>318</v>
      </c>
      <c r="N14" s="76" t="s">
        <v>318</v>
      </c>
      <c r="O14" s="77" t="s">
        <v>318</v>
      </c>
      <c r="P14" s="78" t="s">
        <v>318</v>
      </c>
      <c r="Q14" s="76" t="s">
        <v>318</v>
      </c>
      <c r="R14" s="77" t="s">
        <v>318</v>
      </c>
      <c r="S14" s="78" t="s">
        <v>318</v>
      </c>
      <c r="T14" s="76" t="s">
        <v>318</v>
      </c>
      <c r="U14" s="77" t="s">
        <v>318</v>
      </c>
      <c r="V14" s="78" t="s">
        <v>318</v>
      </c>
      <c r="W14" s="76" t="s">
        <v>318</v>
      </c>
      <c r="X14" s="79" t="s">
        <v>318</v>
      </c>
      <c r="Y14" s="78" t="s">
        <v>318</v>
      </c>
      <c r="Z14" s="76" t="s">
        <v>318</v>
      </c>
      <c r="AA14" s="79" t="s">
        <v>318</v>
      </c>
      <c r="AB14" s="78" t="s">
        <v>318</v>
      </c>
      <c r="AC14" s="76" t="s">
        <v>318</v>
      </c>
      <c r="AD14" s="79" t="s">
        <v>318</v>
      </c>
      <c r="AE14" s="78" t="s">
        <v>318</v>
      </c>
      <c r="AF14" s="76" t="s">
        <v>318</v>
      </c>
      <c r="AG14" s="79" t="s">
        <v>318</v>
      </c>
      <c r="AH14" s="78" t="s">
        <v>318</v>
      </c>
      <c r="AI14" s="76" t="s">
        <v>318</v>
      </c>
      <c r="AJ14" s="79" t="s">
        <v>318</v>
      </c>
      <c r="AK14" s="78" t="s">
        <v>318</v>
      </c>
      <c r="AL14" s="76" t="s">
        <v>318</v>
      </c>
      <c r="AM14" s="79" t="s">
        <v>318</v>
      </c>
      <c r="AN14" s="78" t="s">
        <v>318</v>
      </c>
      <c r="AO14" s="76" t="s">
        <v>318</v>
      </c>
      <c r="AP14" s="79" t="s">
        <v>318</v>
      </c>
      <c r="AQ14" s="78" t="s">
        <v>318</v>
      </c>
      <c r="AR14" s="76" t="s">
        <v>318</v>
      </c>
      <c r="AS14" s="79" t="s">
        <v>318</v>
      </c>
      <c r="AT14" s="78" t="s">
        <v>318</v>
      </c>
      <c r="AU14" s="76">
        <v>9</v>
      </c>
      <c r="AV14" s="77">
        <v>3566</v>
      </c>
      <c r="AW14" s="78">
        <v>0.5</v>
      </c>
      <c r="AX14" s="76">
        <v>9</v>
      </c>
      <c r="AY14" s="77">
        <v>3528</v>
      </c>
      <c r="AZ14" s="78">
        <v>0.5</v>
      </c>
      <c r="BA14" s="76">
        <v>9</v>
      </c>
      <c r="BB14" s="77">
        <v>3722</v>
      </c>
      <c r="BC14" s="78">
        <v>0.5</v>
      </c>
      <c r="BD14" s="76">
        <v>9</v>
      </c>
      <c r="BE14" s="77">
        <v>3726</v>
      </c>
      <c r="BF14" s="78">
        <v>0.5</v>
      </c>
      <c r="BG14" s="76">
        <v>9</v>
      </c>
      <c r="BH14" s="77">
        <v>3513</v>
      </c>
      <c r="BI14" s="78">
        <v>0.5</v>
      </c>
      <c r="BJ14" s="76">
        <v>10</v>
      </c>
      <c r="BK14" s="77">
        <v>3347</v>
      </c>
      <c r="BL14" s="78">
        <v>0.5</v>
      </c>
      <c r="BM14" s="76">
        <v>9</v>
      </c>
      <c r="BN14" s="77">
        <v>3165</v>
      </c>
      <c r="BO14" s="78">
        <v>0.5</v>
      </c>
      <c r="BP14" s="79" t="s">
        <v>318</v>
      </c>
      <c r="BQ14" s="79" t="s">
        <v>318</v>
      </c>
      <c r="BR14" s="78" t="s">
        <v>318</v>
      </c>
    </row>
    <row r="15" spans="1:70" x14ac:dyDescent="0.2">
      <c r="A15" s="70" t="s">
        <v>321</v>
      </c>
      <c r="B15" s="76">
        <v>8</v>
      </c>
      <c r="C15" s="77">
        <v>4663</v>
      </c>
      <c r="D15" s="78">
        <v>0.8</v>
      </c>
      <c r="E15" s="76">
        <v>8</v>
      </c>
      <c r="F15" s="77">
        <v>4083</v>
      </c>
      <c r="G15" s="78">
        <v>0.7</v>
      </c>
      <c r="H15" s="76">
        <v>8</v>
      </c>
      <c r="I15" s="77">
        <v>3388</v>
      </c>
      <c r="J15" s="78">
        <v>0.6</v>
      </c>
      <c r="K15" s="76">
        <v>7</v>
      </c>
      <c r="L15" s="77">
        <v>3875</v>
      </c>
      <c r="M15" s="78">
        <v>0.6</v>
      </c>
      <c r="N15" s="76" t="s">
        <v>318</v>
      </c>
      <c r="O15" s="77" t="s">
        <v>318</v>
      </c>
      <c r="P15" s="78" t="s">
        <v>318</v>
      </c>
      <c r="Q15" s="76" t="s">
        <v>318</v>
      </c>
      <c r="R15" s="77" t="s">
        <v>318</v>
      </c>
      <c r="S15" s="78" t="s">
        <v>318</v>
      </c>
      <c r="T15" s="76" t="s">
        <v>318</v>
      </c>
      <c r="U15" s="77" t="s">
        <v>318</v>
      </c>
      <c r="V15" s="78" t="s">
        <v>318</v>
      </c>
      <c r="W15" s="76" t="s">
        <v>318</v>
      </c>
      <c r="X15" s="79" t="s">
        <v>318</v>
      </c>
      <c r="Y15" s="78" t="s">
        <v>318</v>
      </c>
      <c r="Z15" s="76" t="s">
        <v>318</v>
      </c>
      <c r="AA15" s="79" t="s">
        <v>318</v>
      </c>
      <c r="AB15" s="78" t="s">
        <v>318</v>
      </c>
      <c r="AC15" s="76" t="s">
        <v>318</v>
      </c>
      <c r="AD15" s="79" t="s">
        <v>318</v>
      </c>
      <c r="AE15" s="78" t="s">
        <v>318</v>
      </c>
      <c r="AF15" s="76" t="s">
        <v>318</v>
      </c>
      <c r="AG15" s="79" t="s">
        <v>318</v>
      </c>
      <c r="AH15" s="78" t="s">
        <v>318</v>
      </c>
      <c r="AI15" s="76" t="s">
        <v>318</v>
      </c>
      <c r="AJ15" s="79" t="s">
        <v>318</v>
      </c>
      <c r="AK15" s="78" t="s">
        <v>318</v>
      </c>
      <c r="AL15" s="76" t="s">
        <v>318</v>
      </c>
      <c r="AM15" s="79" t="s">
        <v>318</v>
      </c>
      <c r="AN15" s="78" t="s">
        <v>318</v>
      </c>
      <c r="AO15" s="76" t="s">
        <v>318</v>
      </c>
      <c r="AP15" s="79" t="s">
        <v>318</v>
      </c>
      <c r="AQ15" s="78" t="s">
        <v>318</v>
      </c>
      <c r="AR15" s="76" t="s">
        <v>318</v>
      </c>
      <c r="AS15" s="79" t="s">
        <v>318</v>
      </c>
      <c r="AT15" s="78" t="s">
        <v>318</v>
      </c>
      <c r="AU15" s="76" t="s">
        <v>318</v>
      </c>
      <c r="AV15" s="79" t="s">
        <v>318</v>
      </c>
      <c r="AW15" s="78" t="s">
        <v>318</v>
      </c>
      <c r="AX15" s="76" t="s">
        <v>318</v>
      </c>
      <c r="AY15" s="79" t="s">
        <v>318</v>
      </c>
      <c r="AZ15" s="78" t="s">
        <v>318</v>
      </c>
      <c r="BA15" s="76" t="s">
        <v>318</v>
      </c>
      <c r="BB15" s="79" t="s">
        <v>318</v>
      </c>
      <c r="BC15" s="78" t="s">
        <v>318</v>
      </c>
      <c r="BD15" s="76" t="s">
        <v>318</v>
      </c>
      <c r="BE15" s="79" t="s">
        <v>318</v>
      </c>
      <c r="BF15" s="78" t="s">
        <v>318</v>
      </c>
      <c r="BG15" s="76" t="s">
        <v>318</v>
      </c>
      <c r="BH15" s="79" t="s">
        <v>318</v>
      </c>
      <c r="BI15" s="78" t="s">
        <v>318</v>
      </c>
      <c r="BJ15" s="76" t="s">
        <v>318</v>
      </c>
      <c r="BK15" s="79" t="s">
        <v>318</v>
      </c>
      <c r="BL15" s="78" t="s">
        <v>318</v>
      </c>
      <c r="BM15" s="76" t="s">
        <v>318</v>
      </c>
      <c r="BN15" s="79" t="s">
        <v>318</v>
      </c>
      <c r="BO15" s="78" t="s">
        <v>318</v>
      </c>
      <c r="BP15" s="79" t="s">
        <v>318</v>
      </c>
      <c r="BQ15" s="79" t="s">
        <v>318</v>
      </c>
      <c r="BR15" s="78" t="s">
        <v>318</v>
      </c>
    </row>
    <row r="16" spans="1:70" x14ac:dyDescent="0.2">
      <c r="A16" s="70" t="s">
        <v>322</v>
      </c>
      <c r="B16" s="76">
        <v>9</v>
      </c>
      <c r="C16" s="77">
        <v>3871</v>
      </c>
      <c r="D16" s="78">
        <v>0.7</v>
      </c>
      <c r="E16" s="76">
        <v>10</v>
      </c>
      <c r="F16" s="77">
        <v>3618</v>
      </c>
      <c r="G16" s="78">
        <v>0.6</v>
      </c>
      <c r="H16" s="76" t="s">
        <v>318</v>
      </c>
      <c r="I16" s="77" t="s">
        <v>318</v>
      </c>
      <c r="J16" s="78" t="s">
        <v>318</v>
      </c>
      <c r="K16" s="76" t="s">
        <v>318</v>
      </c>
      <c r="L16" s="77" t="s">
        <v>318</v>
      </c>
      <c r="M16" s="78" t="s">
        <v>318</v>
      </c>
      <c r="N16" s="76" t="s">
        <v>318</v>
      </c>
      <c r="O16" s="77" t="s">
        <v>318</v>
      </c>
      <c r="P16" s="78" t="s">
        <v>318</v>
      </c>
      <c r="Q16" s="76" t="s">
        <v>318</v>
      </c>
      <c r="R16" s="77" t="s">
        <v>318</v>
      </c>
      <c r="S16" s="78" t="s">
        <v>318</v>
      </c>
      <c r="T16" s="76" t="s">
        <v>318</v>
      </c>
      <c r="U16" s="77" t="s">
        <v>318</v>
      </c>
      <c r="V16" s="78" t="s">
        <v>318</v>
      </c>
      <c r="W16" s="76" t="s">
        <v>318</v>
      </c>
      <c r="X16" s="79" t="s">
        <v>318</v>
      </c>
      <c r="Y16" s="78" t="s">
        <v>318</v>
      </c>
      <c r="Z16" s="76" t="s">
        <v>318</v>
      </c>
      <c r="AA16" s="79" t="s">
        <v>318</v>
      </c>
      <c r="AB16" s="78" t="s">
        <v>318</v>
      </c>
      <c r="AC16" s="76" t="s">
        <v>318</v>
      </c>
      <c r="AD16" s="79" t="s">
        <v>318</v>
      </c>
      <c r="AE16" s="78" t="s">
        <v>318</v>
      </c>
      <c r="AF16" s="76" t="s">
        <v>318</v>
      </c>
      <c r="AG16" s="79" t="s">
        <v>318</v>
      </c>
      <c r="AH16" s="78" t="s">
        <v>318</v>
      </c>
      <c r="AI16" s="76" t="s">
        <v>318</v>
      </c>
      <c r="AJ16" s="79" t="s">
        <v>318</v>
      </c>
      <c r="AK16" s="78" t="s">
        <v>318</v>
      </c>
      <c r="AL16" s="76" t="s">
        <v>318</v>
      </c>
      <c r="AM16" s="79" t="s">
        <v>318</v>
      </c>
      <c r="AN16" s="78" t="s">
        <v>318</v>
      </c>
      <c r="AO16" s="76" t="s">
        <v>318</v>
      </c>
      <c r="AP16" s="79" t="s">
        <v>318</v>
      </c>
      <c r="AQ16" s="78" t="s">
        <v>318</v>
      </c>
      <c r="AR16" s="76" t="s">
        <v>318</v>
      </c>
      <c r="AS16" s="79" t="s">
        <v>318</v>
      </c>
      <c r="AT16" s="78" t="s">
        <v>318</v>
      </c>
      <c r="AU16" s="76" t="s">
        <v>318</v>
      </c>
      <c r="AV16" s="79" t="s">
        <v>318</v>
      </c>
      <c r="AW16" s="78" t="s">
        <v>318</v>
      </c>
      <c r="AX16" s="76" t="s">
        <v>318</v>
      </c>
      <c r="AY16" s="79" t="s">
        <v>318</v>
      </c>
      <c r="AZ16" s="78" t="s">
        <v>318</v>
      </c>
      <c r="BA16" s="76" t="s">
        <v>318</v>
      </c>
      <c r="BB16" s="79" t="s">
        <v>318</v>
      </c>
      <c r="BC16" s="78" t="s">
        <v>318</v>
      </c>
      <c r="BD16" s="76" t="s">
        <v>318</v>
      </c>
      <c r="BE16" s="79" t="s">
        <v>318</v>
      </c>
      <c r="BF16" s="78" t="s">
        <v>318</v>
      </c>
      <c r="BG16" s="76" t="s">
        <v>318</v>
      </c>
      <c r="BH16" s="79" t="s">
        <v>318</v>
      </c>
      <c r="BI16" s="78" t="s">
        <v>318</v>
      </c>
      <c r="BJ16" s="76" t="s">
        <v>318</v>
      </c>
      <c r="BK16" s="79" t="s">
        <v>318</v>
      </c>
      <c r="BL16" s="78" t="s">
        <v>318</v>
      </c>
      <c r="BM16" s="76" t="s">
        <v>318</v>
      </c>
      <c r="BN16" s="79" t="s">
        <v>318</v>
      </c>
      <c r="BO16" s="78" t="s">
        <v>318</v>
      </c>
      <c r="BP16" s="79" t="s">
        <v>318</v>
      </c>
      <c r="BQ16" s="79" t="s">
        <v>318</v>
      </c>
      <c r="BR16" s="78" t="s">
        <v>318</v>
      </c>
    </row>
    <row r="17" spans="1:70" x14ac:dyDescent="0.2">
      <c r="A17" s="70" t="s">
        <v>323</v>
      </c>
      <c r="B17" s="76">
        <v>10</v>
      </c>
      <c r="C17" s="77">
        <v>3483</v>
      </c>
      <c r="D17" s="78">
        <v>0.6</v>
      </c>
      <c r="E17" s="76">
        <v>9</v>
      </c>
      <c r="F17" s="77">
        <v>3651</v>
      </c>
      <c r="G17" s="78">
        <v>0.6</v>
      </c>
      <c r="H17" s="76">
        <v>7</v>
      </c>
      <c r="I17" s="77">
        <v>3891</v>
      </c>
      <c r="J17" s="78">
        <v>0.7</v>
      </c>
      <c r="K17" s="76">
        <v>8</v>
      </c>
      <c r="L17" s="77">
        <v>3515</v>
      </c>
      <c r="M17" s="78">
        <v>0.6</v>
      </c>
      <c r="N17" s="76">
        <v>10</v>
      </c>
      <c r="O17" s="77">
        <v>3260</v>
      </c>
      <c r="P17" s="78">
        <v>0.5</v>
      </c>
      <c r="Q17" s="76" t="s">
        <v>318</v>
      </c>
      <c r="R17" s="77" t="s">
        <v>318</v>
      </c>
      <c r="S17" s="78" t="s">
        <v>318</v>
      </c>
      <c r="T17" s="76" t="s">
        <v>318</v>
      </c>
      <c r="U17" s="77" t="s">
        <v>318</v>
      </c>
      <c r="V17" s="78" t="s">
        <v>318</v>
      </c>
      <c r="W17" s="76" t="s">
        <v>318</v>
      </c>
      <c r="X17" s="79" t="s">
        <v>318</v>
      </c>
      <c r="Y17" s="78" t="s">
        <v>318</v>
      </c>
      <c r="Z17" s="76" t="s">
        <v>318</v>
      </c>
      <c r="AA17" s="79" t="s">
        <v>318</v>
      </c>
      <c r="AB17" s="78" t="s">
        <v>318</v>
      </c>
      <c r="AC17" s="76" t="s">
        <v>318</v>
      </c>
      <c r="AD17" s="79" t="s">
        <v>318</v>
      </c>
      <c r="AE17" s="78" t="s">
        <v>318</v>
      </c>
      <c r="AF17" s="76" t="s">
        <v>318</v>
      </c>
      <c r="AG17" s="79" t="s">
        <v>318</v>
      </c>
      <c r="AH17" s="78" t="s">
        <v>318</v>
      </c>
      <c r="AI17" s="76" t="s">
        <v>318</v>
      </c>
      <c r="AJ17" s="79" t="s">
        <v>318</v>
      </c>
      <c r="AK17" s="78" t="s">
        <v>318</v>
      </c>
      <c r="AL17" s="76" t="s">
        <v>318</v>
      </c>
      <c r="AM17" s="79" t="s">
        <v>318</v>
      </c>
      <c r="AN17" s="78" t="s">
        <v>318</v>
      </c>
      <c r="AO17" s="76" t="s">
        <v>318</v>
      </c>
      <c r="AP17" s="79" t="s">
        <v>318</v>
      </c>
      <c r="AQ17" s="78" t="s">
        <v>318</v>
      </c>
      <c r="AR17" s="76" t="s">
        <v>318</v>
      </c>
      <c r="AS17" s="79" t="s">
        <v>318</v>
      </c>
      <c r="AT17" s="78" t="s">
        <v>318</v>
      </c>
      <c r="AU17" s="76" t="s">
        <v>318</v>
      </c>
      <c r="AV17" s="79" t="s">
        <v>318</v>
      </c>
      <c r="AW17" s="78" t="s">
        <v>318</v>
      </c>
      <c r="AX17" s="76" t="s">
        <v>318</v>
      </c>
      <c r="AY17" s="79" t="s">
        <v>318</v>
      </c>
      <c r="AZ17" s="78" t="s">
        <v>318</v>
      </c>
      <c r="BA17" s="76" t="s">
        <v>318</v>
      </c>
      <c r="BB17" s="79" t="s">
        <v>318</v>
      </c>
      <c r="BC17" s="78" t="s">
        <v>318</v>
      </c>
      <c r="BD17" s="76" t="s">
        <v>318</v>
      </c>
      <c r="BE17" s="79" t="s">
        <v>318</v>
      </c>
      <c r="BF17" s="78" t="s">
        <v>318</v>
      </c>
      <c r="BG17" s="76" t="s">
        <v>318</v>
      </c>
      <c r="BH17" s="79" t="s">
        <v>318</v>
      </c>
      <c r="BI17" s="78" t="s">
        <v>318</v>
      </c>
      <c r="BJ17" s="76" t="s">
        <v>318</v>
      </c>
      <c r="BK17" s="79" t="s">
        <v>318</v>
      </c>
      <c r="BL17" s="78" t="s">
        <v>318</v>
      </c>
      <c r="BM17" s="76" t="s">
        <v>318</v>
      </c>
      <c r="BN17" s="79" t="s">
        <v>318</v>
      </c>
      <c r="BO17" s="78" t="s">
        <v>318</v>
      </c>
      <c r="BP17" s="79" t="s">
        <v>318</v>
      </c>
      <c r="BQ17" s="79" t="s">
        <v>318</v>
      </c>
      <c r="BR17" s="78" t="s">
        <v>318</v>
      </c>
    </row>
    <row r="18" spans="1:70" x14ac:dyDescent="0.2">
      <c r="A18" s="70" t="s">
        <v>324</v>
      </c>
      <c r="B18" s="76" t="s">
        <v>318</v>
      </c>
      <c r="C18" s="77" t="s">
        <v>318</v>
      </c>
      <c r="D18" s="80" t="s">
        <v>318</v>
      </c>
      <c r="E18" s="76" t="s">
        <v>318</v>
      </c>
      <c r="F18" s="77" t="s">
        <v>318</v>
      </c>
      <c r="G18" s="78" t="s">
        <v>318</v>
      </c>
      <c r="H18" s="76" t="s">
        <v>318</v>
      </c>
      <c r="I18" s="77" t="s">
        <v>318</v>
      </c>
      <c r="J18" s="78" t="s">
        <v>318</v>
      </c>
      <c r="K18" s="76" t="s">
        <v>318</v>
      </c>
      <c r="L18" s="77" t="s">
        <v>318</v>
      </c>
      <c r="M18" s="78" t="s">
        <v>318</v>
      </c>
      <c r="N18" s="76" t="s">
        <v>318</v>
      </c>
      <c r="O18" s="77" t="s">
        <v>318</v>
      </c>
      <c r="P18" s="78" t="s">
        <v>318</v>
      </c>
      <c r="Q18" s="76" t="s">
        <v>318</v>
      </c>
      <c r="R18" s="77" t="s">
        <v>318</v>
      </c>
      <c r="S18" s="78" t="s">
        <v>318</v>
      </c>
      <c r="T18" s="76" t="s">
        <v>318</v>
      </c>
      <c r="U18" s="77" t="s">
        <v>318</v>
      </c>
      <c r="V18" s="78" t="s">
        <v>318</v>
      </c>
      <c r="W18" s="76" t="s">
        <v>318</v>
      </c>
      <c r="X18" s="79" t="s">
        <v>318</v>
      </c>
      <c r="Y18" s="78" t="s">
        <v>318</v>
      </c>
      <c r="Z18" s="76" t="s">
        <v>318</v>
      </c>
      <c r="AA18" s="79" t="s">
        <v>318</v>
      </c>
      <c r="AB18" s="78" t="s">
        <v>318</v>
      </c>
      <c r="AC18" s="76">
        <v>10</v>
      </c>
      <c r="AD18" s="77">
        <v>3596</v>
      </c>
      <c r="AE18" s="78">
        <v>0.5</v>
      </c>
      <c r="AF18" s="76" t="s">
        <v>318</v>
      </c>
      <c r="AG18" s="79" t="s">
        <v>318</v>
      </c>
      <c r="AH18" s="78" t="s">
        <v>318</v>
      </c>
      <c r="AI18" s="76">
        <v>10</v>
      </c>
      <c r="AJ18" s="77">
        <v>3882</v>
      </c>
      <c r="AK18" s="78">
        <v>0.6</v>
      </c>
      <c r="AL18" s="76" t="s">
        <v>318</v>
      </c>
      <c r="AM18" s="79" t="s">
        <v>318</v>
      </c>
      <c r="AN18" s="78" t="s">
        <v>318</v>
      </c>
      <c r="AO18" s="76" t="s">
        <v>318</v>
      </c>
      <c r="AP18" s="79" t="s">
        <v>318</v>
      </c>
      <c r="AQ18" s="78" t="s">
        <v>318</v>
      </c>
      <c r="AR18" s="76">
        <v>10</v>
      </c>
      <c r="AS18" s="77">
        <v>3611</v>
      </c>
      <c r="AT18" s="78">
        <v>0.5</v>
      </c>
      <c r="AU18" s="76" t="s">
        <v>318</v>
      </c>
      <c r="AV18" s="79" t="s">
        <v>318</v>
      </c>
      <c r="AW18" s="78" t="s">
        <v>318</v>
      </c>
      <c r="AX18" s="76">
        <v>10</v>
      </c>
      <c r="AY18" s="77">
        <v>3314</v>
      </c>
      <c r="AZ18" s="78">
        <v>0.5</v>
      </c>
      <c r="BA18" s="76" t="s">
        <v>318</v>
      </c>
      <c r="BB18" s="79" t="s">
        <v>318</v>
      </c>
      <c r="BC18" s="78" t="s">
        <v>318</v>
      </c>
      <c r="BD18" s="76" t="s">
        <v>318</v>
      </c>
      <c r="BE18" s="79" t="s">
        <v>318</v>
      </c>
      <c r="BF18" s="78" t="s">
        <v>318</v>
      </c>
      <c r="BG18" s="76" t="s">
        <v>318</v>
      </c>
      <c r="BH18" s="79" t="s">
        <v>318</v>
      </c>
      <c r="BI18" s="78" t="s">
        <v>318</v>
      </c>
      <c r="BJ18" s="76" t="s">
        <v>318</v>
      </c>
      <c r="BK18" s="79" t="s">
        <v>318</v>
      </c>
      <c r="BL18" s="78" t="s">
        <v>318</v>
      </c>
      <c r="BM18" s="76" t="s">
        <v>318</v>
      </c>
      <c r="BN18" s="79" t="s">
        <v>318</v>
      </c>
      <c r="BO18" s="78" t="s">
        <v>318</v>
      </c>
      <c r="BP18" s="79" t="s">
        <v>318</v>
      </c>
      <c r="BQ18" s="79" t="s">
        <v>318</v>
      </c>
      <c r="BR18" s="78" t="s">
        <v>318</v>
      </c>
    </row>
    <row r="19" spans="1:70" x14ac:dyDescent="0.2">
      <c r="A19" s="70" t="s">
        <v>325</v>
      </c>
      <c r="B19" s="76" t="s">
        <v>318</v>
      </c>
      <c r="C19" s="77" t="s">
        <v>318</v>
      </c>
      <c r="D19" s="80" t="s">
        <v>318</v>
      </c>
      <c r="E19" s="76" t="s">
        <v>318</v>
      </c>
      <c r="F19" s="77" t="s">
        <v>318</v>
      </c>
      <c r="G19" s="78" t="s">
        <v>318</v>
      </c>
      <c r="H19" s="76" t="s">
        <v>318</v>
      </c>
      <c r="I19" s="77" t="s">
        <v>318</v>
      </c>
      <c r="J19" s="78" t="s">
        <v>318</v>
      </c>
      <c r="K19" s="76">
        <v>10</v>
      </c>
      <c r="L19" s="77">
        <v>3154</v>
      </c>
      <c r="M19" s="78">
        <v>0.5</v>
      </c>
      <c r="N19" s="76">
        <v>7</v>
      </c>
      <c r="O19" s="77">
        <v>3511</v>
      </c>
      <c r="P19" s="78">
        <v>0.6</v>
      </c>
      <c r="Q19" s="76">
        <v>8</v>
      </c>
      <c r="R19" s="77">
        <v>3609</v>
      </c>
      <c r="S19" s="78">
        <v>0.6</v>
      </c>
      <c r="T19" s="76">
        <v>8</v>
      </c>
      <c r="U19" s="77">
        <v>3816</v>
      </c>
      <c r="V19" s="78">
        <v>0.6</v>
      </c>
      <c r="W19" s="76">
        <v>8</v>
      </c>
      <c r="X19" s="77">
        <v>3917</v>
      </c>
      <c r="Y19" s="78">
        <v>0.6</v>
      </c>
      <c r="Z19" s="76">
        <v>9</v>
      </c>
      <c r="AA19" s="77">
        <v>4245</v>
      </c>
      <c r="AB19" s="78">
        <v>0.6</v>
      </c>
      <c r="AC19" s="76">
        <v>9</v>
      </c>
      <c r="AD19" s="77">
        <v>4560</v>
      </c>
      <c r="AE19" s="78">
        <v>0.7</v>
      </c>
      <c r="AF19" s="76">
        <v>8</v>
      </c>
      <c r="AG19" s="77">
        <v>4667</v>
      </c>
      <c r="AH19" s="78">
        <v>0.7</v>
      </c>
      <c r="AI19" s="76">
        <v>8</v>
      </c>
      <c r="AJ19" s="77">
        <v>4708</v>
      </c>
      <c r="AK19" s="78">
        <v>0.7</v>
      </c>
      <c r="AL19" s="76">
        <v>8</v>
      </c>
      <c r="AM19" s="77">
        <v>4838</v>
      </c>
      <c r="AN19" s="78">
        <v>0.7</v>
      </c>
      <c r="AO19" s="76">
        <v>7</v>
      </c>
      <c r="AP19" s="77">
        <v>5064</v>
      </c>
      <c r="AQ19" s="78">
        <v>0.7</v>
      </c>
      <c r="AR19" s="76">
        <v>7</v>
      </c>
      <c r="AS19" s="77">
        <v>5108</v>
      </c>
      <c r="AT19" s="78">
        <v>0.7</v>
      </c>
      <c r="AU19" s="76">
        <v>7</v>
      </c>
      <c r="AV19" s="77">
        <v>5328</v>
      </c>
      <c r="AW19" s="78">
        <v>0.7</v>
      </c>
      <c r="AX19" s="76">
        <v>7</v>
      </c>
      <c r="AY19" s="77">
        <v>5158</v>
      </c>
      <c r="AZ19" s="78">
        <v>0.7</v>
      </c>
      <c r="BA19" s="76">
        <v>7</v>
      </c>
      <c r="BB19" s="77">
        <v>5084</v>
      </c>
      <c r="BC19" s="78">
        <v>0.7</v>
      </c>
      <c r="BD19" s="76">
        <v>7</v>
      </c>
      <c r="BE19" s="77">
        <v>5043</v>
      </c>
      <c r="BF19" s="78">
        <v>0.7</v>
      </c>
      <c r="BG19" s="76">
        <v>7</v>
      </c>
      <c r="BH19" s="77">
        <v>4749</v>
      </c>
      <c r="BI19" s="78">
        <v>0.7</v>
      </c>
      <c r="BJ19" s="76">
        <v>6</v>
      </c>
      <c r="BK19" s="77">
        <v>4665</v>
      </c>
      <c r="BL19" s="78">
        <v>0.7</v>
      </c>
      <c r="BM19" s="76">
        <v>5</v>
      </c>
      <c r="BN19" s="77">
        <v>4615</v>
      </c>
      <c r="BO19" s="78">
        <v>0.7</v>
      </c>
      <c r="BP19" s="79">
        <v>4</v>
      </c>
      <c r="BQ19" s="77">
        <v>4392</v>
      </c>
      <c r="BR19" s="78">
        <v>0.7</v>
      </c>
    </row>
    <row r="20" spans="1:70" x14ac:dyDescent="0.2">
      <c r="A20" s="70" t="s">
        <v>326</v>
      </c>
      <c r="B20" s="76" t="s">
        <v>318</v>
      </c>
      <c r="C20" s="77" t="s">
        <v>318</v>
      </c>
      <c r="D20" s="80" t="s">
        <v>318</v>
      </c>
      <c r="E20" s="76" t="s">
        <v>318</v>
      </c>
      <c r="F20" s="77" t="s">
        <v>318</v>
      </c>
      <c r="G20" s="78" t="s">
        <v>318</v>
      </c>
      <c r="H20" s="76" t="s">
        <v>318</v>
      </c>
      <c r="I20" s="77" t="s">
        <v>318</v>
      </c>
      <c r="J20" s="78" t="s">
        <v>318</v>
      </c>
      <c r="K20" s="76" t="s">
        <v>318</v>
      </c>
      <c r="L20" s="77" t="s">
        <v>318</v>
      </c>
      <c r="M20" s="78" t="s">
        <v>318</v>
      </c>
      <c r="N20" s="76" t="s">
        <v>318</v>
      </c>
      <c r="O20" s="77" t="s">
        <v>318</v>
      </c>
      <c r="P20" s="78" t="s">
        <v>318</v>
      </c>
      <c r="Q20" s="76" t="s">
        <v>318</v>
      </c>
      <c r="R20" s="77" t="s">
        <v>318</v>
      </c>
      <c r="S20" s="78" t="s">
        <v>318</v>
      </c>
      <c r="T20" s="76" t="s">
        <v>318</v>
      </c>
      <c r="U20" s="77" t="s">
        <v>318</v>
      </c>
      <c r="V20" s="78" t="s">
        <v>318</v>
      </c>
      <c r="W20" s="76" t="s">
        <v>318</v>
      </c>
      <c r="X20" s="79" t="s">
        <v>318</v>
      </c>
      <c r="Y20" s="78" t="s">
        <v>318</v>
      </c>
      <c r="Z20" s="76" t="s">
        <v>318</v>
      </c>
      <c r="AA20" s="79" t="s">
        <v>318</v>
      </c>
      <c r="AB20" s="78" t="s">
        <v>318</v>
      </c>
      <c r="AC20" s="76" t="s">
        <v>318</v>
      </c>
      <c r="AD20" s="79" t="s">
        <v>318</v>
      </c>
      <c r="AE20" s="78" t="s">
        <v>318</v>
      </c>
      <c r="AF20" s="76" t="s">
        <v>318</v>
      </c>
      <c r="AG20" s="79" t="s">
        <v>318</v>
      </c>
      <c r="AH20" s="78" t="s">
        <v>318</v>
      </c>
      <c r="AI20" s="76" t="s">
        <v>318</v>
      </c>
      <c r="AJ20" s="79" t="s">
        <v>318</v>
      </c>
      <c r="AK20" s="78" t="s">
        <v>318</v>
      </c>
      <c r="AL20" s="76" t="s">
        <v>318</v>
      </c>
      <c r="AM20" s="79" t="s">
        <v>318</v>
      </c>
      <c r="AN20" s="78" t="s">
        <v>318</v>
      </c>
      <c r="AO20" s="76" t="s">
        <v>318</v>
      </c>
      <c r="AP20" s="79" t="s">
        <v>318</v>
      </c>
      <c r="AQ20" s="78" t="s">
        <v>318</v>
      </c>
      <c r="AR20" s="76" t="s">
        <v>318</v>
      </c>
      <c r="AS20" s="79" t="s">
        <v>318</v>
      </c>
      <c r="AT20" s="78" t="s">
        <v>318</v>
      </c>
      <c r="AU20" s="76" t="s">
        <v>318</v>
      </c>
      <c r="AV20" s="79" t="s">
        <v>318</v>
      </c>
      <c r="AW20" s="78" t="s">
        <v>318</v>
      </c>
      <c r="AX20" s="76" t="s">
        <v>318</v>
      </c>
      <c r="AY20" s="79" t="s">
        <v>318</v>
      </c>
      <c r="AZ20" s="78" t="s">
        <v>318</v>
      </c>
      <c r="BA20" s="76" t="s">
        <v>318</v>
      </c>
      <c r="BB20" s="79" t="s">
        <v>318</v>
      </c>
      <c r="BC20" s="78" t="s">
        <v>318</v>
      </c>
      <c r="BD20" s="76" t="s">
        <v>318</v>
      </c>
      <c r="BE20" s="79" t="s">
        <v>318</v>
      </c>
      <c r="BF20" s="78" t="s">
        <v>318</v>
      </c>
      <c r="BG20" s="76">
        <v>10</v>
      </c>
      <c r="BH20" s="77">
        <v>3462</v>
      </c>
      <c r="BI20" s="78">
        <v>0.5</v>
      </c>
      <c r="BJ20" s="76">
        <v>8</v>
      </c>
      <c r="BK20" s="77">
        <v>3463</v>
      </c>
      <c r="BL20" s="78">
        <v>0.5</v>
      </c>
      <c r="BM20" s="76">
        <v>7</v>
      </c>
      <c r="BN20" s="77">
        <v>3597</v>
      </c>
      <c r="BO20" s="78">
        <v>0.6</v>
      </c>
      <c r="BP20" s="79">
        <v>6</v>
      </c>
      <c r="BQ20" s="77">
        <v>3556</v>
      </c>
      <c r="BR20" s="78">
        <v>0.6</v>
      </c>
    </row>
    <row r="21" spans="1:70" x14ac:dyDescent="0.2">
      <c r="A21" s="70" t="s">
        <v>327</v>
      </c>
      <c r="B21" s="76" t="s">
        <v>318</v>
      </c>
      <c r="C21" s="77" t="s">
        <v>318</v>
      </c>
      <c r="D21" s="80" t="s">
        <v>318</v>
      </c>
      <c r="E21" s="76" t="s">
        <v>318</v>
      </c>
      <c r="F21" s="77" t="s">
        <v>318</v>
      </c>
      <c r="G21" s="78" t="s">
        <v>318</v>
      </c>
      <c r="H21" s="76" t="s">
        <v>318</v>
      </c>
      <c r="I21" s="77" t="s">
        <v>318</v>
      </c>
      <c r="J21" s="78" t="s">
        <v>318</v>
      </c>
      <c r="K21" s="76" t="s">
        <v>318</v>
      </c>
      <c r="L21" s="77" t="s">
        <v>318</v>
      </c>
      <c r="M21" s="78" t="s">
        <v>318</v>
      </c>
      <c r="N21" s="76" t="s">
        <v>318</v>
      </c>
      <c r="O21" s="77" t="s">
        <v>318</v>
      </c>
      <c r="P21" s="78" t="s">
        <v>318</v>
      </c>
      <c r="Q21" s="76" t="s">
        <v>318</v>
      </c>
      <c r="R21" s="77" t="s">
        <v>318</v>
      </c>
      <c r="S21" s="78" t="s">
        <v>318</v>
      </c>
      <c r="T21" s="76" t="s">
        <v>318</v>
      </c>
      <c r="U21" s="77" t="s">
        <v>318</v>
      </c>
      <c r="V21" s="78" t="s">
        <v>318</v>
      </c>
      <c r="W21" s="76" t="s">
        <v>318</v>
      </c>
      <c r="X21" s="79" t="s">
        <v>318</v>
      </c>
      <c r="Y21" s="78" t="s">
        <v>318</v>
      </c>
      <c r="Z21" s="76" t="s">
        <v>318</v>
      </c>
      <c r="AA21" s="79" t="s">
        <v>318</v>
      </c>
      <c r="AB21" s="78" t="s">
        <v>318</v>
      </c>
      <c r="AC21" s="76" t="s">
        <v>318</v>
      </c>
      <c r="AD21" s="79" t="s">
        <v>318</v>
      </c>
      <c r="AE21" s="78" t="s">
        <v>318</v>
      </c>
      <c r="AF21" s="76" t="s">
        <v>318</v>
      </c>
      <c r="AG21" s="79" t="s">
        <v>318</v>
      </c>
      <c r="AH21" s="78" t="s">
        <v>318</v>
      </c>
      <c r="AI21" s="76" t="s">
        <v>318</v>
      </c>
      <c r="AJ21" s="79" t="s">
        <v>318</v>
      </c>
      <c r="AK21" s="78" t="s">
        <v>318</v>
      </c>
      <c r="AL21" s="76" t="s">
        <v>318</v>
      </c>
      <c r="AM21" s="79" t="s">
        <v>318</v>
      </c>
      <c r="AN21" s="78" t="s">
        <v>318</v>
      </c>
      <c r="AO21" s="76" t="s">
        <v>318</v>
      </c>
      <c r="AP21" s="79" t="s">
        <v>318</v>
      </c>
      <c r="AQ21" s="78" t="s">
        <v>318</v>
      </c>
      <c r="AR21" s="76" t="s">
        <v>318</v>
      </c>
      <c r="AS21" s="79" t="s">
        <v>318</v>
      </c>
      <c r="AT21" s="78" t="s">
        <v>318</v>
      </c>
      <c r="AU21" s="76" t="s">
        <v>318</v>
      </c>
      <c r="AV21" s="79" t="s">
        <v>318</v>
      </c>
      <c r="AW21" s="78" t="s">
        <v>318</v>
      </c>
      <c r="AX21" s="76" t="s">
        <v>318</v>
      </c>
      <c r="AY21" s="79" t="s">
        <v>318</v>
      </c>
      <c r="AZ21" s="78" t="s">
        <v>318</v>
      </c>
      <c r="BA21" s="76" t="s">
        <v>318</v>
      </c>
      <c r="BB21" s="79" t="s">
        <v>318</v>
      </c>
      <c r="BC21" s="78" t="s">
        <v>318</v>
      </c>
      <c r="BD21" s="76" t="s">
        <v>318</v>
      </c>
      <c r="BE21" s="79" t="s">
        <v>318</v>
      </c>
      <c r="BF21" s="78" t="s">
        <v>318</v>
      </c>
      <c r="BG21" s="76" t="s">
        <v>318</v>
      </c>
      <c r="BH21" s="79" t="s">
        <v>318</v>
      </c>
      <c r="BI21" s="78" t="s">
        <v>318</v>
      </c>
      <c r="BJ21" s="76" t="s">
        <v>318</v>
      </c>
      <c r="BK21" s="79" t="s">
        <v>318</v>
      </c>
      <c r="BL21" s="78" t="s">
        <v>318</v>
      </c>
      <c r="BM21" s="76" t="s">
        <v>318</v>
      </c>
      <c r="BN21" s="79" t="s">
        <v>318</v>
      </c>
      <c r="BO21" s="78" t="s">
        <v>318</v>
      </c>
      <c r="BP21" s="79">
        <v>10</v>
      </c>
      <c r="BQ21" s="77">
        <v>2898</v>
      </c>
      <c r="BR21" s="78">
        <v>0.5</v>
      </c>
    </row>
    <row r="22" spans="1:70" x14ac:dyDescent="0.2">
      <c r="A22" s="70" t="s">
        <v>328</v>
      </c>
      <c r="B22" s="76" t="s">
        <v>318</v>
      </c>
      <c r="C22" s="77" t="s">
        <v>318</v>
      </c>
      <c r="D22" s="80" t="s">
        <v>318</v>
      </c>
      <c r="E22" s="76" t="s">
        <v>318</v>
      </c>
      <c r="F22" s="77" t="s">
        <v>318</v>
      </c>
      <c r="G22" s="78" t="s">
        <v>318</v>
      </c>
      <c r="H22" s="76" t="s">
        <v>318</v>
      </c>
      <c r="I22" s="77" t="s">
        <v>318</v>
      </c>
      <c r="J22" s="78" t="s">
        <v>318</v>
      </c>
      <c r="K22" s="76" t="s">
        <v>318</v>
      </c>
      <c r="L22" s="77" t="s">
        <v>318</v>
      </c>
      <c r="M22" s="78" t="s">
        <v>318</v>
      </c>
      <c r="N22" s="76">
        <v>8</v>
      </c>
      <c r="O22" s="77">
        <v>3499</v>
      </c>
      <c r="P22" s="78">
        <v>0.6</v>
      </c>
      <c r="Q22" s="76">
        <v>7</v>
      </c>
      <c r="R22" s="77">
        <v>3619</v>
      </c>
      <c r="S22" s="78">
        <v>0.6</v>
      </c>
      <c r="T22" s="76">
        <v>7</v>
      </c>
      <c r="U22" s="77">
        <v>4133</v>
      </c>
      <c r="V22" s="78">
        <v>0.6</v>
      </c>
      <c r="W22" s="76">
        <v>7</v>
      </c>
      <c r="X22" s="77">
        <v>4517</v>
      </c>
      <c r="Y22" s="78">
        <v>0.7</v>
      </c>
      <c r="Z22" s="76">
        <v>7</v>
      </c>
      <c r="AA22" s="77">
        <v>4803</v>
      </c>
      <c r="AB22" s="78">
        <v>0.7</v>
      </c>
      <c r="AC22" s="76">
        <v>7</v>
      </c>
      <c r="AD22" s="77">
        <v>4912</v>
      </c>
      <c r="AE22" s="78">
        <v>0.7</v>
      </c>
      <c r="AF22" s="76">
        <v>7</v>
      </c>
      <c r="AG22" s="77">
        <v>4872</v>
      </c>
      <c r="AH22" s="78">
        <v>0.7</v>
      </c>
      <c r="AI22" s="76">
        <v>7</v>
      </c>
      <c r="AJ22" s="77">
        <v>4786</v>
      </c>
      <c r="AK22" s="78">
        <v>0.7</v>
      </c>
      <c r="AL22" s="76">
        <v>9</v>
      </c>
      <c r="AM22" s="77">
        <v>4595</v>
      </c>
      <c r="AN22" s="78">
        <v>0.7</v>
      </c>
      <c r="AO22" s="76">
        <v>8</v>
      </c>
      <c r="AP22" s="77">
        <v>4535</v>
      </c>
      <c r="AQ22" s="78">
        <v>0.6</v>
      </c>
      <c r="AR22" s="76">
        <v>9</v>
      </c>
      <c r="AS22" s="77">
        <v>3788</v>
      </c>
      <c r="AT22" s="78">
        <v>0.5</v>
      </c>
      <c r="AU22" s="76" t="s">
        <v>318</v>
      </c>
      <c r="AV22" s="79" t="s">
        <v>318</v>
      </c>
      <c r="AW22" s="78" t="s">
        <v>318</v>
      </c>
      <c r="AX22" s="76" t="s">
        <v>318</v>
      </c>
      <c r="AY22" s="79" t="s">
        <v>318</v>
      </c>
      <c r="AZ22" s="78" t="s">
        <v>318</v>
      </c>
      <c r="BA22" s="76" t="s">
        <v>318</v>
      </c>
      <c r="BB22" s="79" t="s">
        <v>318</v>
      </c>
      <c r="BC22" s="78" t="s">
        <v>318</v>
      </c>
      <c r="BD22" s="76" t="s">
        <v>318</v>
      </c>
      <c r="BE22" s="79" t="s">
        <v>318</v>
      </c>
      <c r="BF22" s="78" t="s">
        <v>318</v>
      </c>
      <c r="BG22" s="76" t="s">
        <v>318</v>
      </c>
      <c r="BH22" s="79" t="s">
        <v>318</v>
      </c>
      <c r="BI22" s="78" t="s">
        <v>318</v>
      </c>
      <c r="BJ22" s="76" t="s">
        <v>318</v>
      </c>
      <c r="BK22" s="79" t="s">
        <v>318</v>
      </c>
      <c r="BL22" s="78" t="s">
        <v>318</v>
      </c>
      <c r="BM22" s="76" t="s">
        <v>318</v>
      </c>
      <c r="BN22" s="79" t="s">
        <v>318</v>
      </c>
      <c r="BO22" s="78" t="s">
        <v>318</v>
      </c>
      <c r="BP22" s="79" t="s">
        <v>318</v>
      </c>
      <c r="BQ22" s="79" t="s">
        <v>318</v>
      </c>
      <c r="BR22" s="78" t="s">
        <v>318</v>
      </c>
    </row>
    <row r="23" spans="1:70" x14ac:dyDescent="0.2">
      <c r="A23" s="70" t="s">
        <v>329</v>
      </c>
      <c r="B23" s="76" t="s">
        <v>318</v>
      </c>
      <c r="C23" s="77" t="s">
        <v>318</v>
      </c>
      <c r="D23" s="80" t="s">
        <v>318</v>
      </c>
      <c r="E23" s="76" t="s">
        <v>318</v>
      </c>
      <c r="F23" s="77" t="s">
        <v>318</v>
      </c>
      <c r="G23" s="78" t="s">
        <v>318</v>
      </c>
      <c r="H23" s="76" t="s">
        <v>318</v>
      </c>
      <c r="I23" s="77" t="s">
        <v>318</v>
      </c>
      <c r="J23" s="78" t="s">
        <v>318</v>
      </c>
      <c r="K23" s="76" t="s">
        <v>318</v>
      </c>
      <c r="L23" s="77" t="s">
        <v>318</v>
      </c>
      <c r="M23" s="78" t="s">
        <v>318</v>
      </c>
      <c r="N23" s="76" t="s">
        <v>318</v>
      </c>
      <c r="O23" s="77" t="s">
        <v>318</v>
      </c>
      <c r="P23" s="78" t="s">
        <v>318</v>
      </c>
      <c r="Q23" s="76">
        <v>9</v>
      </c>
      <c r="R23" s="77">
        <v>3347</v>
      </c>
      <c r="S23" s="78">
        <v>0.5</v>
      </c>
      <c r="T23" s="76">
        <v>9</v>
      </c>
      <c r="U23" s="77">
        <v>3698</v>
      </c>
      <c r="V23" s="78">
        <v>0.6</v>
      </c>
      <c r="W23" s="76">
        <v>9</v>
      </c>
      <c r="X23" s="77">
        <v>3765</v>
      </c>
      <c r="Y23" s="78">
        <v>0.6</v>
      </c>
      <c r="Z23" s="76">
        <v>8</v>
      </c>
      <c r="AA23" s="77">
        <v>4390</v>
      </c>
      <c r="AB23" s="78">
        <v>0.6</v>
      </c>
      <c r="AC23" s="76">
        <v>8</v>
      </c>
      <c r="AD23" s="77">
        <v>4621</v>
      </c>
      <c r="AE23" s="78">
        <v>0.7</v>
      </c>
      <c r="AF23" s="76">
        <v>9</v>
      </c>
      <c r="AG23" s="77">
        <v>4636</v>
      </c>
      <c r="AH23" s="78">
        <v>0.7</v>
      </c>
      <c r="AI23" s="76">
        <v>9</v>
      </c>
      <c r="AJ23" s="77">
        <v>4696</v>
      </c>
      <c r="AK23" s="78">
        <v>0.7</v>
      </c>
      <c r="AL23" s="76">
        <v>7</v>
      </c>
      <c r="AM23" s="77">
        <v>4897</v>
      </c>
      <c r="AN23" s="78">
        <v>0.7</v>
      </c>
      <c r="AO23" s="76">
        <v>6</v>
      </c>
      <c r="AP23" s="77">
        <v>5300</v>
      </c>
      <c r="AQ23" s="78">
        <v>0.7</v>
      </c>
      <c r="AR23" s="76">
        <v>6</v>
      </c>
      <c r="AS23" s="77">
        <v>5654</v>
      </c>
      <c r="AT23" s="78">
        <v>0.8</v>
      </c>
      <c r="AU23" s="76">
        <v>6</v>
      </c>
      <c r="AV23" s="77">
        <v>5882</v>
      </c>
      <c r="AW23" s="78">
        <v>0.8</v>
      </c>
      <c r="AX23" s="76">
        <v>6</v>
      </c>
      <c r="AY23" s="77">
        <v>5807</v>
      </c>
      <c r="AZ23" s="78">
        <v>0.8</v>
      </c>
      <c r="BA23" s="76">
        <v>6</v>
      </c>
      <c r="BB23" s="77">
        <v>6058</v>
      </c>
      <c r="BC23" s="78">
        <v>0.9</v>
      </c>
      <c r="BD23" s="76">
        <v>6</v>
      </c>
      <c r="BE23" s="77">
        <v>5890</v>
      </c>
      <c r="BF23" s="78">
        <v>0.9</v>
      </c>
      <c r="BG23" s="76">
        <v>6</v>
      </c>
      <c r="BH23" s="77">
        <v>5639</v>
      </c>
      <c r="BI23" s="78">
        <v>0.8</v>
      </c>
      <c r="BJ23" s="76">
        <v>4</v>
      </c>
      <c r="BK23" s="77">
        <v>5467</v>
      </c>
      <c r="BL23" s="78">
        <v>0.8</v>
      </c>
      <c r="BM23" s="76">
        <v>4</v>
      </c>
      <c r="BN23" s="77">
        <v>4880</v>
      </c>
      <c r="BO23" s="78">
        <v>0.8</v>
      </c>
      <c r="BP23" s="79">
        <v>5</v>
      </c>
      <c r="BQ23" s="77">
        <v>4334</v>
      </c>
      <c r="BR23" s="78">
        <v>0.7</v>
      </c>
    </row>
    <row r="24" spans="1:70" x14ac:dyDescent="0.2">
      <c r="A24" s="70" t="s">
        <v>330</v>
      </c>
      <c r="B24" s="76" t="s">
        <v>318</v>
      </c>
      <c r="C24" s="77" t="s">
        <v>318</v>
      </c>
      <c r="D24" s="80" t="s">
        <v>318</v>
      </c>
      <c r="E24" s="76" t="s">
        <v>318</v>
      </c>
      <c r="F24" s="77" t="s">
        <v>318</v>
      </c>
      <c r="G24" s="78" t="s">
        <v>318</v>
      </c>
      <c r="H24" s="76" t="s">
        <v>318</v>
      </c>
      <c r="I24" s="77" t="s">
        <v>318</v>
      </c>
      <c r="J24" s="78" t="s">
        <v>318</v>
      </c>
      <c r="K24" s="76" t="s">
        <v>318</v>
      </c>
      <c r="L24" s="77" t="s">
        <v>318</v>
      </c>
      <c r="M24" s="78" t="s">
        <v>318</v>
      </c>
      <c r="N24" s="76" t="s">
        <v>318</v>
      </c>
      <c r="O24" s="77" t="s">
        <v>318</v>
      </c>
      <c r="P24" s="78" t="s">
        <v>318</v>
      </c>
      <c r="Q24" s="76" t="s">
        <v>318</v>
      </c>
      <c r="R24" s="77" t="s">
        <v>318</v>
      </c>
      <c r="S24" s="78" t="s">
        <v>318</v>
      </c>
      <c r="T24" s="76" t="s">
        <v>318</v>
      </c>
      <c r="U24" s="77" t="s">
        <v>318</v>
      </c>
      <c r="V24" s="78" t="s">
        <v>318</v>
      </c>
      <c r="W24" s="76" t="s">
        <v>318</v>
      </c>
      <c r="X24" s="79" t="s">
        <v>318</v>
      </c>
      <c r="Y24" s="78" t="s">
        <v>318</v>
      </c>
      <c r="Z24" s="76" t="s">
        <v>318</v>
      </c>
      <c r="AA24" s="79" t="s">
        <v>318</v>
      </c>
      <c r="AB24" s="78" t="s">
        <v>318</v>
      </c>
      <c r="AC24" s="76" t="s">
        <v>318</v>
      </c>
      <c r="AD24" s="79" t="s">
        <v>318</v>
      </c>
      <c r="AE24" s="78" t="s">
        <v>318</v>
      </c>
      <c r="AF24" s="76">
        <v>10</v>
      </c>
      <c r="AG24" s="77">
        <v>3537</v>
      </c>
      <c r="AH24" s="78">
        <v>0.5</v>
      </c>
      <c r="AI24" s="76" t="s">
        <v>318</v>
      </c>
      <c r="AJ24" s="79" t="s">
        <v>318</v>
      </c>
      <c r="AK24" s="78" t="s">
        <v>318</v>
      </c>
      <c r="AL24" s="76">
        <v>10</v>
      </c>
      <c r="AM24" s="77">
        <v>3824</v>
      </c>
      <c r="AN24" s="78">
        <v>0.5</v>
      </c>
      <c r="AO24" s="76">
        <v>10</v>
      </c>
      <c r="AP24" s="77">
        <v>4231</v>
      </c>
      <c r="AQ24" s="78">
        <v>0.6</v>
      </c>
      <c r="AR24" s="76">
        <v>8</v>
      </c>
      <c r="AS24" s="77">
        <v>4430</v>
      </c>
      <c r="AT24" s="78">
        <v>0.6</v>
      </c>
      <c r="AU24" s="76">
        <v>8</v>
      </c>
      <c r="AV24" s="77">
        <v>4456</v>
      </c>
      <c r="AW24" s="78">
        <v>0.6</v>
      </c>
      <c r="AX24" s="76">
        <v>8</v>
      </c>
      <c r="AY24" s="77">
        <v>4435</v>
      </c>
      <c r="AZ24" s="78">
        <v>0.6</v>
      </c>
      <c r="BA24" s="76">
        <v>8</v>
      </c>
      <c r="BB24" s="77">
        <v>4542</v>
      </c>
      <c r="BC24" s="78">
        <v>0.6</v>
      </c>
      <c r="BD24" s="76">
        <v>8</v>
      </c>
      <c r="BE24" s="77">
        <v>4434</v>
      </c>
      <c r="BF24" s="78">
        <v>0.6</v>
      </c>
      <c r="BG24" s="76">
        <v>8</v>
      </c>
      <c r="BH24" s="77">
        <v>4253</v>
      </c>
      <c r="BI24" s="78">
        <v>0.6</v>
      </c>
      <c r="BJ24" s="76">
        <v>7</v>
      </c>
      <c r="BK24" s="77">
        <v>3920</v>
      </c>
      <c r="BL24" s="78">
        <v>0.6</v>
      </c>
      <c r="BM24" s="76">
        <v>8</v>
      </c>
      <c r="BN24" s="77">
        <v>3559</v>
      </c>
      <c r="BO24" s="78">
        <v>0.6</v>
      </c>
      <c r="BP24" s="79">
        <v>9</v>
      </c>
      <c r="BQ24" s="77">
        <v>3030</v>
      </c>
      <c r="BR24" s="78">
        <v>0.5</v>
      </c>
    </row>
    <row r="25" spans="1:70" x14ac:dyDescent="0.2">
      <c r="A25" s="70" t="s">
        <v>331</v>
      </c>
      <c r="B25" s="76" t="s">
        <v>318</v>
      </c>
      <c r="C25" s="77" t="s">
        <v>318</v>
      </c>
      <c r="D25" s="80" t="s">
        <v>318</v>
      </c>
      <c r="E25" s="76" t="s">
        <v>318</v>
      </c>
      <c r="F25" s="77" t="s">
        <v>318</v>
      </c>
      <c r="G25" s="78" t="s">
        <v>318</v>
      </c>
      <c r="H25" s="76" t="s">
        <v>318</v>
      </c>
      <c r="I25" s="77" t="s">
        <v>318</v>
      </c>
      <c r="J25" s="78" t="s">
        <v>318</v>
      </c>
      <c r="K25" s="76" t="s">
        <v>318</v>
      </c>
      <c r="L25" s="77" t="s">
        <v>318</v>
      </c>
      <c r="M25" s="78" t="s">
        <v>318</v>
      </c>
      <c r="N25" s="76" t="s">
        <v>318</v>
      </c>
      <c r="O25" s="77" t="s">
        <v>318</v>
      </c>
      <c r="P25" s="78" t="s">
        <v>318</v>
      </c>
      <c r="Q25" s="76" t="s">
        <v>318</v>
      </c>
      <c r="R25" s="77" t="s">
        <v>318</v>
      </c>
      <c r="S25" s="78" t="s">
        <v>318</v>
      </c>
      <c r="T25" s="76" t="s">
        <v>318</v>
      </c>
      <c r="U25" s="77" t="s">
        <v>318</v>
      </c>
      <c r="V25" s="78" t="s">
        <v>318</v>
      </c>
      <c r="W25" s="76" t="s">
        <v>318</v>
      </c>
      <c r="X25" s="79" t="s">
        <v>318</v>
      </c>
      <c r="Y25" s="78" t="s">
        <v>318</v>
      </c>
      <c r="Z25" s="76" t="s">
        <v>318</v>
      </c>
      <c r="AA25" s="79" t="s">
        <v>318</v>
      </c>
      <c r="AB25" s="78" t="s">
        <v>318</v>
      </c>
      <c r="AC25" s="76" t="s">
        <v>318</v>
      </c>
      <c r="AD25" s="79" t="s">
        <v>318</v>
      </c>
      <c r="AE25" s="78" t="s">
        <v>318</v>
      </c>
      <c r="AF25" s="76" t="s">
        <v>318</v>
      </c>
      <c r="AG25" s="79" t="s">
        <v>318</v>
      </c>
      <c r="AH25" s="78" t="s">
        <v>318</v>
      </c>
      <c r="AI25" s="76" t="s">
        <v>318</v>
      </c>
      <c r="AJ25" s="79" t="s">
        <v>318</v>
      </c>
      <c r="AK25" s="78" t="s">
        <v>318</v>
      </c>
      <c r="AL25" s="76" t="s">
        <v>318</v>
      </c>
      <c r="AM25" s="79" t="s">
        <v>318</v>
      </c>
      <c r="AN25" s="78" t="s">
        <v>318</v>
      </c>
      <c r="AO25" s="76" t="s">
        <v>318</v>
      </c>
      <c r="AP25" s="79" t="s">
        <v>318</v>
      </c>
      <c r="AQ25" s="78" t="s">
        <v>318</v>
      </c>
      <c r="AR25" s="76" t="s">
        <v>318</v>
      </c>
      <c r="AS25" s="79" t="s">
        <v>318</v>
      </c>
      <c r="AT25" s="78" t="s">
        <v>318</v>
      </c>
      <c r="AU25" s="76">
        <v>10</v>
      </c>
      <c r="AV25" s="77">
        <v>3511</v>
      </c>
      <c r="AW25" s="78">
        <v>0.5</v>
      </c>
      <c r="AX25" s="76" t="s">
        <v>318</v>
      </c>
      <c r="AY25" s="79" t="s">
        <v>318</v>
      </c>
      <c r="AZ25" s="78" t="s">
        <v>318</v>
      </c>
      <c r="BA25" s="76">
        <v>10</v>
      </c>
      <c r="BB25" s="77">
        <v>3329</v>
      </c>
      <c r="BC25" s="78">
        <v>0.5</v>
      </c>
      <c r="BD25" s="76">
        <v>10</v>
      </c>
      <c r="BE25" s="77">
        <v>3344</v>
      </c>
      <c r="BF25" s="78">
        <v>0.5</v>
      </c>
      <c r="BG25" s="76" t="s">
        <v>318</v>
      </c>
      <c r="BH25" s="79" t="s">
        <v>318</v>
      </c>
      <c r="BI25" s="78" t="s">
        <v>318</v>
      </c>
      <c r="BJ25" s="76" t="s">
        <v>318</v>
      </c>
      <c r="BK25" s="79" t="s">
        <v>318</v>
      </c>
      <c r="BL25" s="78" t="s">
        <v>318</v>
      </c>
      <c r="BM25" s="76" t="s">
        <v>318</v>
      </c>
      <c r="BN25" s="79" t="s">
        <v>318</v>
      </c>
      <c r="BO25" s="78" t="s">
        <v>318</v>
      </c>
      <c r="BP25" s="79" t="s">
        <v>318</v>
      </c>
      <c r="BQ25" s="79" t="s">
        <v>318</v>
      </c>
      <c r="BR25" s="78" t="s">
        <v>318</v>
      </c>
    </row>
    <row r="26" spans="1:70" x14ac:dyDescent="0.2">
      <c r="A26" s="71" t="s">
        <v>332</v>
      </c>
      <c r="B26" s="81" t="s">
        <v>318</v>
      </c>
      <c r="C26" s="82" t="s">
        <v>318</v>
      </c>
      <c r="D26" s="83" t="s">
        <v>318</v>
      </c>
      <c r="E26" s="81" t="s">
        <v>318</v>
      </c>
      <c r="F26" s="82" t="s">
        <v>318</v>
      </c>
      <c r="G26" s="84" t="s">
        <v>318</v>
      </c>
      <c r="H26" s="81">
        <v>10</v>
      </c>
      <c r="I26" s="82">
        <v>3229</v>
      </c>
      <c r="J26" s="84">
        <v>0.5</v>
      </c>
      <c r="K26" s="81">
        <v>9</v>
      </c>
      <c r="L26" s="82">
        <v>3200</v>
      </c>
      <c r="M26" s="84">
        <v>0.5</v>
      </c>
      <c r="N26" s="81">
        <v>9</v>
      </c>
      <c r="O26" s="82">
        <v>3446</v>
      </c>
      <c r="P26" s="84">
        <v>0.6</v>
      </c>
      <c r="Q26" s="81">
        <v>10</v>
      </c>
      <c r="R26" s="82">
        <v>3145</v>
      </c>
      <c r="S26" s="84">
        <v>0.5</v>
      </c>
      <c r="T26" s="81">
        <v>10</v>
      </c>
      <c r="U26" s="82">
        <v>3240</v>
      </c>
      <c r="V26" s="84">
        <v>0.5</v>
      </c>
      <c r="W26" s="81">
        <v>10</v>
      </c>
      <c r="X26" s="82">
        <v>3333</v>
      </c>
      <c r="Y26" s="84">
        <v>0.5</v>
      </c>
      <c r="Z26" s="81">
        <v>10</v>
      </c>
      <c r="AA26" s="82">
        <v>3271</v>
      </c>
      <c r="AB26" s="84">
        <v>0.5</v>
      </c>
      <c r="AC26" s="81" t="s">
        <v>318</v>
      </c>
      <c r="AD26" s="85" t="s">
        <v>318</v>
      </c>
      <c r="AE26" s="84" t="s">
        <v>318</v>
      </c>
      <c r="AF26" s="81" t="s">
        <v>318</v>
      </c>
      <c r="AG26" s="85" t="s">
        <v>318</v>
      </c>
      <c r="AH26" s="84" t="s">
        <v>318</v>
      </c>
      <c r="AI26" s="81" t="s">
        <v>318</v>
      </c>
      <c r="AJ26" s="85" t="s">
        <v>318</v>
      </c>
      <c r="AK26" s="84" t="s">
        <v>318</v>
      </c>
      <c r="AL26" s="81" t="s">
        <v>318</v>
      </c>
      <c r="AM26" s="85" t="s">
        <v>318</v>
      </c>
      <c r="AN26" s="84" t="s">
        <v>318</v>
      </c>
      <c r="AO26" s="81" t="s">
        <v>318</v>
      </c>
      <c r="AP26" s="85" t="s">
        <v>318</v>
      </c>
      <c r="AQ26" s="84" t="s">
        <v>318</v>
      </c>
      <c r="AR26" s="81" t="s">
        <v>318</v>
      </c>
      <c r="AS26" s="85" t="s">
        <v>318</v>
      </c>
      <c r="AT26" s="84" t="s">
        <v>318</v>
      </c>
      <c r="AU26" s="81" t="s">
        <v>318</v>
      </c>
      <c r="AV26" s="85" t="s">
        <v>318</v>
      </c>
      <c r="AW26" s="84" t="s">
        <v>318</v>
      </c>
      <c r="AX26" s="81" t="s">
        <v>318</v>
      </c>
      <c r="AY26" s="85" t="s">
        <v>318</v>
      </c>
      <c r="AZ26" s="84" t="s">
        <v>318</v>
      </c>
      <c r="BA26" s="81" t="s">
        <v>318</v>
      </c>
      <c r="BB26" s="85" t="s">
        <v>318</v>
      </c>
      <c r="BC26" s="84" t="s">
        <v>318</v>
      </c>
      <c r="BD26" s="81" t="s">
        <v>318</v>
      </c>
      <c r="BE26" s="85" t="s">
        <v>318</v>
      </c>
      <c r="BF26" s="84" t="s">
        <v>318</v>
      </c>
      <c r="BG26" s="81" t="s">
        <v>318</v>
      </c>
      <c r="BH26" s="85" t="s">
        <v>318</v>
      </c>
      <c r="BI26" s="84" t="s">
        <v>318</v>
      </c>
      <c r="BJ26" s="81" t="s">
        <v>318</v>
      </c>
      <c r="BK26" s="85" t="s">
        <v>318</v>
      </c>
      <c r="BL26" s="84" t="s">
        <v>318</v>
      </c>
      <c r="BM26" s="81">
        <v>10</v>
      </c>
      <c r="BN26" s="82">
        <v>2916</v>
      </c>
      <c r="BO26" s="84">
        <v>0.5</v>
      </c>
      <c r="BP26" s="85">
        <v>8</v>
      </c>
      <c r="BQ26" s="82">
        <v>3037</v>
      </c>
      <c r="BR26" s="84">
        <v>0.5</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87564-DA0F-4F4B-B24D-D56E2A0092A3}">
  <dimension ref="A1:BC22"/>
  <sheetViews>
    <sheetView showGridLines="0" workbookViewId="0"/>
  </sheetViews>
  <sheetFormatPr defaultColWidth="11.5546875" defaultRowHeight="15" x14ac:dyDescent="0.2"/>
  <cols>
    <col min="1" max="1" width="26.6640625" style="58" customWidth="1"/>
    <col min="2" max="3" width="8.6640625" style="58" customWidth="1"/>
    <col min="4" max="4" width="12.6640625" style="58" customWidth="1"/>
    <col min="5" max="6" width="8.6640625" style="58" customWidth="1"/>
    <col min="7" max="7" width="12.6640625" style="58" customWidth="1"/>
    <col min="8" max="9" width="8.6640625" style="58" customWidth="1"/>
    <col min="10" max="10" width="12.6640625" style="58" customWidth="1"/>
    <col min="11" max="12" width="8.6640625" style="58" customWidth="1"/>
    <col min="13" max="13" width="12.6640625" style="58" customWidth="1"/>
    <col min="14" max="15" width="8.6640625" style="58" customWidth="1"/>
    <col min="16" max="16" width="12.6640625" style="58" customWidth="1"/>
    <col min="17" max="18" width="8.6640625" style="58" customWidth="1"/>
    <col min="19" max="19" width="12.6640625" style="58" customWidth="1"/>
    <col min="20" max="21" width="8.6640625" style="58" customWidth="1"/>
    <col min="22" max="22" width="12.6640625" style="58" customWidth="1"/>
    <col min="23" max="24" width="8.6640625" style="58" customWidth="1"/>
    <col min="25" max="25" width="12.6640625" style="58" customWidth="1"/>
    <col min="26" max="27" width="8.6640625" style="58" customWidth="1"/>
    <col min="28" max="28" width="12.6640625" style="58" customWidth="1"/>
    <col min="29" max="30" width="8.6640625" style="58" customWidth="1"/>
    <col min="31" max="31" width="12.6640625" style="58" customWidth="1"/>
    <col min="32" max="33" width="8.6640625" style="58" customWidth="1"/>
    <col min="34" max="34" width="12.6640625" style="58" customWidth="1"/>
    <col min="35" max="36" width="8.6640625" style="58" customWidth="1"/>
    <col min="37" max="37" width="12.6640625" style="58" customWidth="1"/>
    <col min="38" max="39" width="8.6640625" style="58" customWidth="1"/>
    <col min="40" max="40" width="12.6640625" style="58" customWidth="1"/>
    <col min="41" max="42" width="8.6640625" style="58" customWidth="1"/>
    <col min="43" max="43" width="12.6640625" style="58" customWidth="1"/>
    <col min="44" max="45" width="8.6640625" style="58" customWidth="1"/>
    <col min="46" max="46" width="12.6640625" style="58" customWidth="1"/>
    <col min="47" max="48" width="8.6640625" style="58" customWidth="1"/>
    <col min="49" max="49" width="12.6640625" style="58" customWidth="1"/>
    <col min="50" max="51" width="8.6640625" style="58" customWidth="1"/>
    <col min="52" max="52" width="12.6640625" style="58" customWidth="1"/>
    <col min="53" max="54" width="8.6640625" style="58" customWidth="1"/>
    <col min="55" max="55" width="12.6640625" style="58" customWidth="1"/>
    <col min="56" max="16384" width="11.5546875" style="58"/>
  </cols>
  <sheetData>
    <row r="1" spans="1:55" ht="20.25" x14ac:dyDescent="0.3">
      <c r="A1" s="57" t="s">
        <v>333</v>
      </c>
    </row>
    <row r="2" spans="1:55" x14ac:dyDescent="0.2">
      <c r="A2" s="58" t="s">
        <v>94</v>
      </c>
    </row>
    <row r="3" spans="1:55" x14ac:dyDescent="0.2">
      <c r="A3" s="58" t="s">
        <v>247</v>
      </c>
    </row>
    <row r="4" spans="1:55" x14ac:dyDescent="0.2">
      <c r="A4" s="58" t="s">
        <v>217</v>
      </c>
    </row>
    <row r="5" spans="1:55" x14ac:dyDescent="0.2">
      <c r="A5" s="58" t="s">
        <v>218</v>
      </c>
    </row>
    <row r="6" spans="1:55" ht="45.75" x14ac:dyDescent="0.2">
      <c r="A6" s="59" t="s">
        <v>334</v>
      </c>
      <c r="B6" s="66" t="s">
        <v>335</v>
      </c>
      <c r="C6" s="67" t="s">
        <v>336</v>
      </c>
      <c r="D6" s="68" t="s">
        <v>337</v>
      </c>
      <c r="E6" s="66" t="s">
        <v>338</v>
      </c>
      <c r="F6" s="67" t="s">
        <v>339</v>
      </c>
      <c r="G6" s="68" t="s">
        <v>340</v>
      </c>
      <c r="H6" s="66" t="s">
        <v>341</v>
      </c>
      <c r="I6" s="67" t="s">
        <v>342</v>
      </c>
      <c r="J6" s="68" t="s">
        <v>343</v>
      </c>
      <c r="K6" s="66" t="s">
        <v>344</v>
      </c>
      <c r="L6" s="67" t="s">
        <v>345</v>
      </c>
      <c r="M6" s="68" t="s">
        <v>346</v>
      </c>
      <c r="N6" s="66" t="s">
        <v>347</v>
      </c>
      <c r="O6" s="67" t="s">
        <v>348</v>
      </c>
      <c r="P6" s="68" t="s">
        <v>349</v>
      </c>
      <c r="Q6" s="66" t="s">
        <v>350</v>
      </c>
      <c r="R6" s="67" t="s">
        <v>351</v>
      </c>
      <c r="S6" s="68" t="s">
        <v>352</v>
      </c>
      <c r="T6" s="66" t="s">
        <v>353</v>
      </c>
      <c r="U6" s="67" t="s">
        <v>354</v>
      </c>
      <c r="V6" s="68" t="s">
        <v>355</v>
      </c>
      <c r="W6" s="66" t="s">
        <v>269</v>
      </c>
      <c r="X6" s="67" t="s">
        <v>270</v>
      </c>
      <c r="Y6" s="68" t="s">
        <v>271</v>
      </c>
      <c r="Z6" s="66" t="s">
        <v>272</v>
      </c>
      <c r="AA6" s="67" t="s">
        <v>273</v>
      </c>
      <c r="AB6" s="68" t="s">
        <v>274</v>
      </c>
      <c r="AC6" s="66" t="s">
        <v>275</v>
      </c>
      <c r="AD6" s="67" t="s">
        <v>276</v>
      </c>
      <c r="AE6" s="68" t="s">
        <v>277</v>
      </c>
      <c r="AF6" s="66" t="s">
        <v>278</v>
      </c>
      <c r="AG6" s="67" t="s">
        <v>279</v>
      </c>
      <c r="AH6" s="68" t="s">
        <v>280</v>
      </c>
      <c r="AI6" s="66" t="s">
        <v>281</v>
      </c>
      <c r="AJ6" s="67" t="s">
        <v>282</v>
      </c>
      <c r="AK6" s="68" t="s">
        <v>283</v>
      </c>
      <c r="AL6" s="66" t="s">
        <v>284</v>
      </c>
      <c r="AM6" s="67" t="s">
        <v>285</v>
      </c>
      <c r="AN6" s="68" t="s">
        <v>286</v>
      </c>
      <c r="AO6" s="66" t="s">
        <v>287</v>
      </c>
      <c r="AP6" s="67" t="s">
        <v>288</v>
      </c>
      <c r="AQ6" s="68" t="s">
        <v>289</v>
      </c>
      <c r="AR6" s="66" t="s">
        <v>290</v>
      </c>
      <c r="AS6" s="67" t="s">
        <v>291</v>
      </c>
      <c r="AT6" s="68" t="s">
        <v>292</v>
      </c>
      <c r="AU6" s="66" t="s">
        <v>293</v>
      </c>
      <c r="AV6" s="67" t="s">
        <v>294</v>
      </c>
      <c r="AW6" s="68" t="s">
        <v>295</v>
      </c>
      <c r="AX6" s="66" t="s">
        <v>296</v>
      </c>
      <c r="AY6" s="67" t="s">
        <v>297</v>
      </c>
      <c r="AZ6" s="68" t="s">
        <v>298</v>
      </c>
      <c r="BA6" s="66" t="s">
        <v>299</v>
      </c>
      <c r="BB6" s="67" t="s">
        <v>300</v>
      </c>
      <c r="BC6" s="68" t="s">
        <v>301</v>
      </c>
    </row>
    <row r="7" spans="1:55" s="62" customFormat="1" ht="15.75" x14ac:dyDescent="0.25">
      <c r="A7" s="69" t="s">
        <v>317</v>
      </c>
      <c r="B7" s="72" t="s">
        <v>318</v>
      </c>
      <c r="C7" s="73">
        <v>192677</v>
      </c>
      <c r="D7" s="74">
        <v>34.4</v>
      </c>
      <c r="E7" s="72" t="s">
        <v>318</v>
      </c>
      <c r="F7" s="73">
        <v>191994</v>
      </c>
      <c r="G7" s="74">
        <v>33.799999999999997</v>
      </c>
      <c r="H7" s="72" t="s">
        <v>318</v>
      </c>
      <c r="I7" s="73">
        <v>178700</v>
      </c>
      <c r="J7" s="74">
        <v>31.7</v>
      </c>
      <c r="K7" s="72" t="s">
        <v>318</v>
      </c>
      <c r="L7" s="73">
        <v>173198</v>
      </c>
      <c r="M7" s="74">
        <v>30.1</v>
      </c>
      <c r="N7" s="72" t="s">
        <v>318</v>
      </c>
      <c r="O7" s="73">
        <v>168476</v>
      </c>
      <c r="P7" s="74">
        <v>28.3</v>
      </c>
      <c r="Q7" s="72" t="s">
        <v>318</v>
      </c>
      <c r="R7" s="73">
        <v>168742</v>
      </c>
      <c r="S7" s="74">
        <v>29</v>
      </c>
      <c r="T7" s="72" t="s">
        <v>318</v>
      </c>
      <c r="U7" s="73">
        <v>173119</v>
      </c>
      <c r="V7" s="74">
        <v>28.5</v>
      </c>
      <c r="W7" s="72" t="s">
        <v>318</v>
      </c>
      <c r="X7" s="73">
        <v>174579</v>
      </c>
      <c r="Y7" s="74">
        <v>28</v>
      </c>
      <c r="Z7" s="72" t="s">
        <v>318</v>
      </c>
      <c r="AA7" s="73">
        <v>180951</v>
      </c>
      <c r="AB7" s="74">
        <v>28.1</v>
      </c>
      <c r="AC7" s="72" t="s">
        <v>318</v>
      </c>
      <c r="AD7" s="73">
        <v>183764</v>
      </c>
      <c r="AE7" s="74">
        <v>27.8</v>
      </c>
      <c r="AF7" s="72" t="s">
        <v>318</v>
      </c>
      <c r="AG7" s="73">
        <v>179795</v>
      </c>
      <c r="AH7" s="74">
        <v>27.2</v>
      </c>
      <c r="AI7" s="72" t="s">
        <v>318</v>
      </c>
      <c r="AJ7" s="73">
        <v>175118</v>
      </c>
      <c r="AK7" s="74">
        <v>26.6</v>
      </c>
      <c r="AL7" s="72" t="s">
        <v>318</v>
      </c>
      <c r="AM7" s="73">
        <v>172139</v>
      </c>
      <c r="AN7" s="74">
        <v>26.1</v>
      </c>
      <c r="AO7" s="72" t="s">
        <v>318</v>
      </c>
      <c r="AP7" s="73">
        <v>175639</v>
      </c>
      <c r="AQ7" s="74">
        <v>25.5</v>
      </c>
      <c r="AR7" s="72" t="s">
        <v>318</v>
      </c>
      <c r="AS7" s="73">
        <v>171702</v>
      </c>
      <c r="AT7" s="74">
        <v>25.2</v>
      </c>
      <c r="AU7" s="72" t="s">
        <v>318</v>
      </c>
      <c r="AV7" s="73">
        <v>169393</v>
      </c>
      <c r="AW7" s="74">
        <v>24.9</v>
      </c>
      <c r="AX7" s="72" t="s">
        <v>318</v>
      </c>
      <c r="AY7" s="73">
        <v>162652</v>
      </c>
      <c r="AZ7" s="74">
        <v>24.6</v>
      </c>
      <c r="BA7" s="72" t="s">
        <v>318</v>
      </c>
      <c r="BB7" s="73">
        <v>159838</v>
      </c>
      <c r="BC7" s="74">
        <v>24.1</v>
      </c>
    </row>
    <row r="8" spans="1:55" x14ac:dyDescent="0.2">
      <c r="A8" s="70" t="s">
        <v>242</v>
      </c>
      <c r="B8" s="76">
        <v>1</v>
      </c>
      <c r="C8" s="77">
        <v>27662</v>
      </c>
      <c r="D8" s="78">
        <v>4.9000000000000004</v>
      </c>
      <c r="E8" s="76">
        <v>1</v>
      </c>
      <c r="F8" s="77">
        <v>26333</v>
      </c>
      <c r="G8" s="78">
        <v>4.5999999999999996</v>
      </c>
      <c r="H8" s="76">
        <v>1</v>
      </c>
      <c r="I8" s="77">
        <v>21750</v>
      </c>
      <c r="J8" s="78">
        <v>3.9</v>
      </c>
      <c r="K8" s="76">
        <v>1</v>
      </c>
      <c r="L8" s="77">
        <v>18013</v>
      </c>
      <c r="M8" s="78">
        <v>3.1</v>
      </c>
      <c r="N8" s="76">
        <v>2</v>
      </c>
      <c r="O8" s="77">
        <v>15452</v>
      </c>
      <c r="P8" s="78">
        <v>2.6</v>
      </c>
      <c r="Q8" s="76">
        <v>3</v>
      </c>
      <c r="R8" s="77">
        <v>14631</v>
      </c>
      <c r="S8" s="78">
        <v>2.5</v>
      </c>
      <c r="T8" s="76">
        <v>3</v>
      </c>
      <c r="U8" s="77">
        <v>13569</v>
      </c>
      <c r="V8" s="78">
        <v>2.2000000000000002</v>
      </c>
      <c r="W8" s="76">
        <v>4</v>
      </c>
      <c r="X8" s="77">
        <v>12968</v>
      </c>
      <c r="Y8" s="78">
        <v>2.1</v>
      </c>
      <c r="Z8" s="76">
        <v>3</v>
      </c>
      <c r="AA8" s="77">
        <v>13715</v>
      </c>
      <c r="AB8" s="78">
        <v>2.1</v>
      </c>
      <c r="AC8" s="76">
        <v>3</v>
      </c>
      <c r="AD8" s="77">
        <v>14007</v>
      </c>
      <c r="AE8" s="78">
        <v>2.1</v>
      </c>
      <c r="AF8" s="76">
        <v>3</v>
      </c>
      <c r="AG8" s="77">
        <v>13798</v>
      </c>
      <c r="AH8" s="78">
        <v>2.1</v>
      </c>
      <c r="AI8" s="76">
        <v>3</v>
      </c>
      <c r="AJ8" s="77">
        <v>13639</v>
      </c>
      <c r="AK8" s="78">
        <v>2.1</v>
      </c>
      <c r="AL8" s="76">
        <v>3</v>
      </c>
      <c r="AM8" s="77">
        <v>13662</v>
      </c>
      <c r="AN8" s="78">
        <v>2.1</v>
      </c>
      <c r="AO8" s="76">
        <v>3</v>
      </c>
      <c r="AP8" s="77">
        <v>13991</v>
      </c>
      <c r="AQ8" s="103">
        <v>2</v>
      </c>
      <c r="AR8" s="76">
        <v>3</v>
      </c>
      <c r="AS8" s="77">
        <v>14181</v>
      </c>
      <c r="AT8" s="78">
        <v>2.1</v>
      </c>
      <c r="AU8" s="76">
        <v>3</v>
      </c>
      <c r="AV8" s="77">
        <v>12799</v>
      </c>
      <c r="AW8" s="78">
        <v>1.9</v>
      </c>
      <c r="AX8" s="76">
        <v>3</v>
      </c>
      <c r="AY8" s="77">
        <v>11694</v>
      </c>
      <c r="AZ8" s="78">
        <v>1.8</v>
      </c>
      <c r="BA8" s="76">
        <v>3</v>
      </c>
      <c r="BB8" s="77">
        <v>11303</v>
      </c>
      <c r="BC8" s="78">
        <v>1.7</v>
      </c>
    </row>
    <row r="9" spans="1:55" x14ac:dyDescent="0.2">
      <c r="A9" s="70" t="s">
        <v>243</v>
      </c>
      <c r="B9" s="76">
        <v>2</v>
      </c>
      <c r="C9" s="77">
        <v>21816</v>
      </c>
      <c r="D9" s="78">
        <v>3.9</v>
      </c>
      <c r="E9" s="76">
        <v>2</v>
      </c>
      <c r="F9" s="77">
        <v>21389</v>
      </c>
      <c r="G9" s="78">
        <v>3.8</v>
      </c>
      <c r="H9" s="76">
        <v>2</v>
      </c>
      <c r="I9" s="77">
        <v>18227</v>
      </c>
      <c r="J9" s="78">
        <v>3.2</v>
      </c>
      <c r="K9" s="76">
        <v>2</v>
      </c>
      <c r="L9" s="77">
        <v>17393</v>
      </c>
      <c r="M9" s="103">
        <v>3</v>
      </c>
      <c r="N9" s="76">
        <v>1</v>
      </c>
      <c r="O9" s="77">
        <v>16375</v>
      </c>
      <c r="P9" s="78">
        <v>2.7</v>
      </c>
      <c r="Q9" s="76">
        <v>1</v>
      </c>
      <c r="R9" s="77">
        <v>17140</v>
      </c>
      <c r="S9" s="78">
        <v>2.9</v>
      </c>
      <c r="T9" s="76">
        <v>1</v>
      </c>
      <c r="U9" s="77">
        <v>17519</v>
      </c>
      <c r="V9" s="78">
        <v>2.9</v>
      </c>
      <c r="W9" s="76">
        <v>1</v>
      </c>
      <c r="X9" s="77">
        <v>17334</v>
      </c>
      <c r="Y9" s="78">
        <v>2.8</v>
      </c>
      <c r="Z9" s="76">
        <v>1</v>
      </c>
      <c r="AA9" s="77">
        <v>18513</v>
      </c>
      <c r="AB9" s="78">
        <v>2.9</v>
      </c>
      <c r="AC9" s="76">
        <v>1</v>
      </c>
      <c r="AD9" s="77">
        <v>19131</v>
      </c>
      <c r="AE9" s="78">
        <v>2.9</v>
      </c>
      <c r="AF9" s="76">
        <v>1</v>
      </c>
      <c r="AG9" s="77">
        <v>19236</v>
      </c>
      <c r="AH9" s="78">
        <v>2.9</v>
      </c>
      <c r="AI9" s="76">
        <v>1</v>
      </c>
      <c r="AJ9" s="77">
        <v>19601</v>
      </c>
      <c r="AK9" s="103">
        <v>3</v>
      </c>
      <c r="AL9" s="76">
        <v>1</v>
      </c>
      <c r="AM9" s="77">
        <v>20068</v>
      </c>
      <c r="AN9" s="103">
        <v>3</v>
      </c>
      <c r="AO9" s="76">
        <v>1</v>
      </c>
      <c r="AP9" s="77">
        <v>20280</v>
      </c>
      <c r="AQ9" s="78">
        <v>2.9</v>
      </c>
      <c r="AR9" s="76">
        <v>1</v>
      </c>
      <c r="AS9" s="77">
        <v>19612</v>
      </c>
      <c r="AT9" s="78">
        <v>2.9</v>
      </c>
      <c r="AU9" s="76">
        <v>1</v>
      </c>
      <c r="AV9" s="77">
        <v>19091</v>
      </c>
      <c r="AW9" s="78">
        <v>2.8</v>
      </c>
      <c r="AX9" s="76">
        <v>1</v>
      </c>
      <c r="AY9" s="77">
        <v>19531</v>
      </c>
      <c r="AZ9" s="78">
        <v>2.9</v>
      </c>
      <c r="BA9" s="76">
        <v>1</v>
      </c>
      <c r="BB9" s="77">
        <v>20100</v>
      </c>
      <c r="BC9" s="103">
        <v>3</v>
      </c>
    </row>
    <row r="10" spans="1:55" x14ac:dyDescent="0.2">
      <c r="A10" s="70" t="s">
        <v>319</v>
      </c>
      <c r="B10" s="76">
        <v>3</v>
      </c>
      <c r="C10" s="77">
        <v>17116</v>
      </c>
      <c r="D10" s="78">
        <v>3.1</v>
      </c>
      <c r="E10" s="76">
        <v>3</v>
      </c>
      <c r="F10" s="77">
        <v>16188</v>
      </c>
      <c r="G10" s="78">
        <v>2.8</v>
      </c>
      <c r="H10" s="76">
        <v>3</v>
      </c>
      <c r="I10" s="77">
        <v>13815</v>
      </c>
      <c r="J10" s="78">
        <v>2.5</v>
      </c>
      <c r="K10" s="76">
        <v>4</v>
      </c>
      <c r="L10" s="77">
        <v>10042</v>
      </c>
      <c r="M10" s="78">
        <v>1.7</v>
      </c>
      <c r="N10" s="76">
        <v>5</v>
      </c>
      <c r="O10" s="77">
        <v>7492</v>
      </c>
      <c r="P10" s="78">
        <v>1.3</v>
      </c>
      <c r="Q10" s="76">
        <v>6</v>
      </c>
      <c r="R10" s="77">
        <v>7124</v>
      </c>
      <c r="S10" s="78">
        <v>1.2</v>
      </c>
      <c r="T10" s="76">
        <v>6</v>
      </c>
      <c r="U10" s="77">
        <v>7201</v>
      </c>
      <c r="V10" s="78">
        <v>1.2</v>
      </c>
      <c r="W10" s="76">
        <v>6</v>
      </c>
      <c r="X10" s="77">
        <v>7494</v>
      </c>
      <c r="Y10" s="78">
        <v>1.2</v>
      </c>
      <c r="Z10" s="76">
        <v>6</v>
      </c>
      <c r="AA10" s="77">
        <v>7821</v>
      </c>
      <c r="AB10" s="78">
        <v>1.2</v>
      </c>
      <c r="AC10" s="76">
        <v>6</v>
      </c>
      <c r="AD10" s="77">
        <v>8208</v>
      </c>
      <c r="AE10" s="78">
        <v>1.2</v>
      </c>
      <c r="AF10" s="76">
        <v>5</v>
      </c>
      <c r="AG10" s="77">
        <v>8339</v>
      </c>
      <c r="AH10" s="78">
        <v>1.3</v>
      </c>
      <c r="AI10" s="76">
        <v>5</v>
      </c>
      <c r="AJ10" s="77">
        <v>8467</v>
      </c>
      <c r="AK10" s="78">
        <v>1.3</v>
      </c>
      <c r="AL10" s="76">
        <v>5</v>
      </c>
      <c r="AM10" s="77">
        <v>8397</v>
      </c>
      <c r="AN10" s="78">
        <v>1.3</v>
      </c>
      <c r="AO10" s="76">
        <v>5</v>
      </c>
      <c r="AP10" s="77">
        <v>8628</v>
      </c>
      <c r="AQ10" s="78">
        <v>1.3</v>
      </c>
      <c r="AR10" s="76">
        <v>5</v>
      </c>
      <c r="AS10" s="77">
        <v>8335</v>
      </c>
      <c r="AT10" s="78">
        <v>1.2</v>
      </c>
      <c r="AU10" s="76">
        <v>5</v>
      </c>
      <c r="AV10" s="77">
        <v>8129</v>
      </c>
      <c r="AW10" s="78">
        <v>1.2</v>
      </c>
      <c r="AX10" s="76">
        <v>5</v>
      </c>
      <c r="AY10" s="77">
        <v>7815</v>
      </c>
      <c r="AZ10" s="78">
        <v>1.2</v>
      </c>
      <c r="BA10" s="76">
        <v>5</v>
      </c>
      <c r="BB10" s="77">
        <v>7632</v>
      </c>
      <c r="BC10" s="78">
        <v>1.2</v>
      </c>
    </row>
    <row r="11" spans="1:55" x14ac:dyDescent="0.2">
      <c r="A11" s="70" t="s">
        <v>244</v>
      </c>
      <c r="B11" s="76">
        <v>4</v>
      </c>
      <c r="C11" s="77">
        <v>10085</v>
      </c>
      <c r="D11" s="78">
        <v>1.8</v>
      </c>
      <c r="E11" s="76">
        <v>5</v>
      </c>
      <c r="F11" s="77">
        <v>9822</v>
      </c>
      <c r="G11" s="78">
        <v>1.7</v>
      </c>
      <c r="H11" s="76">
        <v>5</v>
      </c>
      <c r="I11" s="77">
        <v>8160</v>
      </c>
      <c r="J11" s="78">
        <v>1.4</v>
      </c>
      <c r="K11" s="76">
        <v>6</v>
      </c>
      <c r="L11" s="77">
        <v>7435</v>
      </c>
      <c r="M11" s="78">
        <v>1.3</v>
      </c>
      <c r="N11" s="76">
        <v>6</v>
      </c>
      <c r="O11" s="77">
        <v>7184</v>
      </c>
      <c r="P11" s="78">
        <v>1.2</v>
      </c>
      <c r="Q11" s="76">
        <v>5</v>
      </c>
      <c r="R11" s="77">
        <v>7244</v>
      </c>
      <c r="S11" s="78">
        <v>1.2</v>
      </c>
      <c r="T11" s="76">
        <v>5</v>
      </c>
      <c r="U11" s="77">
        <v>7371</v>
      </c>
      <c r="V11" s="78">
        <v>1.2</v>
      </c>
      <c r="W11" s="76">
        <v>5</v>
      </c>
      <c r="X11" s="77">
        <v>7754</v>
      </c>
      <c r="Y11" s="78">
        <v>1.2</v>
      </c>
      <c r="Z11" s="76">
        <v>5</v>
      </c>
      <c r="AA11" s="77">
        <v>8286</v>
      </c>
      <c r="AB11" s="78">
        <v>1.3</v>
      </c>
      <c r="AC11" s="76">
        <v>5</v>
      </c>
      <c r="AD11" s="77">
        <v>8876</v>
      </c>
      <c r="AE11" s="78">
        <v>1.3</v>
      </c>
      <c r="AF11" s="76">
        <v>4</v>
      </c>
      <c r="AG11" s="77">
        <v>8699</v>
      </c>
      <c r="AH11" s="78">
        <v>1.3</v>
      </c>
      <c r="AI11" s="76">
        <v>4</v>
      </c>
      <c r="AJ11" s="77">
        <v>8534</v>
      </c>
      <c r="AK11" s="78">
        <v>1.3</v>
      </c>
      <c r="AL11" s="76">
        <v>4</v>
      </c>
      <c r="AM11" s="77">
        <v>8776</v>
      </c>
      <c r="AN11" s="78">
        <v>1.3</v>
      </c>
      <c r="AO11" s="76">
        <v>4</v>
      </c>
      <c r="AP11" s="77">
        <v>9033</v>
      </c>
      <c r="AQ11" s="78">
        <v>1.3</v>
      </c>
      <c r="AR11" s="76">
        <v>4</v>
      </c>
      <c r="AS11" s="77">
        <v>9027</v>
      </c>
      <c r="AT11" s="78">
        <v>1.3</v>
      </c>
      <c r="AU11" s="76">
        <v>4</v>
      </c>
      <c r="AV11" s="77">
        <v>9105</v>
      </c>
      <c r="AW11" s="78">
        <v>1.3</v>
      </c>
      <c r="AX11" s="76">
        <v>4</v>
      </c>
      <c r="AY11" s="77">
        <v>9170</v>
      </c>
      <c r="AZ11" s="78">
        <v>1.4</v>
      </c>
      <c r="BA11" s="76">
        <v>4</v>
      </c>
      <c r="BB11" s="77">
        <v>9425</v>
      </c>
      <c r="BC11" s="78">
        <v>1.4</v>
      </c>
    </row>
    <row r="12" spans="1:55" x14ac:dyDescent="0.2">
      <c r="A12" s="70" t="s">
        <v>241</v>
      </c>
      <c r="B12" s="76">
        <v>5</v>
      </c>
      <c r="C12" s="77">
        <v>9942</v>
      </c>
      <c r="D12" s="78">
        <v>1.8</v>
      </c>
      <c r="E12" s="76">
        <v>4</v>
      </c>
      <c r="F12" s="77">
        <v>11404</v>
      </c>
      <c r="G12" s="103">
        <v>2</v>
      </c>
      <c r="H12" s="76">
        <v>4</v>
      </c>
      <c r="I12" s="77">
        <v>12884</v>
      </c>
      <c r="J12" s="78">
        <v>2.2999999999999998</v>
      </c>
      <c r="K12" s="76">
        <v>3</v>
      </c>
      <c r="L12" s="77">
        <v>14651</v>
      </c>
      <c r="M12" s="78">
        <v>2.5</v>
      </c>
      <c r="N12" s="76">
        <v>3</v>
      </c>
      <c r="O12" s="77">
        <v>15099</v>
      </c>
      <c r="P12" s="78">
        <v>2.5</v>
      </c>
      <c r="Q12" s="76">
        <v>2</v>
      </c>
      <c r="R12" s="77">
        <v>14791</v>
      </c>
      <c r="S12" s="78">
        <v>2.5</v>
      </c>
      <c r="T12" s="76">
        <v>2</v>
      </c>
      <c r="U12" s="77">
        <v>15211</v>
      </c>
      <c r="V12" s="78">
        <v>2.5</v>
      </c>
      <c r="W12" s="76">
        <v>2</v>
      </c>
      <c r="X12" s="77">
        <v>14269</v>
      </c>
      <c r="Y12" s="78">
        <v>2.2999999999999998</v>
      </c>
      <c r="Z12" s="76">
        <v>4</v>
      </c>
      <c r="AA12" s="77">
        <v>12856</v>
      </c>
      <c r="AB12" s="103">
        <v>2</v>
      </c>
      <c r="AC12" s="76">
        <v>4</v>
      </c>
      <c r="AD12" s="77">
        <v>10684</v>
      </c>
      <c r="AE12" s="78">
        <v>1.6</v>
      </c>
      <c r="AF12" s="76">
        <v>6</v>
      </c>
      <c r="AG12" s="77">
        <v>7856</v>
      </c>
      <c r="AH12" s="78">
        <v>1.2</v>
      </c>
      <c r="AI12" s="76">
        <v>6</v>
      </c>
      <c r="AJ12" s="77">
        <v>5414</v>
      </c>
      <c r="AK12" s="78">
        <v>0.8</v>
      </c>
      <c r="AL12" s="76">
        <v>7</v>
      </c>
      <c r="AM12" s="77">
        <v>4387</v>
      </c>
      <c r="AN12" s="78">
        <v>0.7</v>
      </c>
      <c r="AO12" s="76">
        <v>9</v>
      </c>
      <c r="AP12" s="77">
        <v>3867</v>
      </c>
      <c r="AQ12" s="78">
        <v>0.6</v>
      </c>
      <c r="AR12" s="76" t="s">
        <v>318</v>
      </c>
      <c r="AS12" s="79" t="s">
        <v>318</v>
      </c>
      <c r="AT12" s="78" t="s">
        <v>318</v>
      </c>
      <c r="AU12" s="76" t="s">
        <v>318</v>
      </c>
      <c r="AV12" s="79" t="s">
        <v>318</v>
      </c>
      <c r="AW12" s="78" t="s">
        <v>318</v>
      </c>
      <c r="AX12" s="76" t="s">
        <v>318</v>
      </c>
      <c r="AY12" s="79" t="s">
        <v>318</v>
      </c>
      <c r="AZ12" s="78" t="s">
        <v>318</v>
      </c>
      <c r="BA12" s="76" t="s">
        <v>318</v>
      </c>
      <c r="BB12" s="79" t="s">
        <v>318</v>
      </c>
      <c r="BC12" s="78" t="s">
        <v>318</v>
      </c>
    </row>
    <row r="13" spans="1:55" x14ac:dyDescent="0.2">
      <c r="A13" s="70" t="s">
        <v>320</v>
      </c>
      <c r="B13" s="76">
        <v>6</v>
      </c>
      <c r="C13" s="77">
        <v>5101</v>
      </c>
      <c r="D13" s="78">
        <v>0.9</v>
      </c>
      <c r="E13" s="76">
        <v>7</v>
      </c>
      <c r="F13" s="77">
        <v>4759</v>
      </c>
      <c r="G13" s="78">
        <v>0.8</v>
      </c>
      <c r="H13" s="76">
        <v>9</v>
      </c>
      <c r="I13" s="77">
        <v>3798</v>
      </c>
      <c r="J13" s="78">
        <v>0.7</v>
      </c>
      <c r="K13" s="76">
        <v>9</v>
      </c>
      <c r="L13" s="77">
        <v>3418</v>
      </c>
      <c r="M13" s="78">
        <v>0.6</v>
      </c>
      <c r="N13" s="76">
        <v>10</v>
      </c>
      <c r="O13" s="77">
        <v>3085</v>
      </c>
      <c r="P13" s="78">
        <v>0.5</v>
      </c>
      <c r="Q13" s="76">
        <v>9</v>
      </c>
      <c r="R13" s="77">
        <v>3241</v>
      </c>
      <c r="S13" s="78">
        <v>0.6</v>
      </c>
      <c r="T13" s="76">
        <v>8</v>
      </c>
      <c r="U13" s="77">
        <v>3366</v>
      </c>
      <c r="V13" s="78">
        <v>0.6</v>
      </c>
      <c r="W13" s="76">
        <v>9</v>
      </c>
      <c r="X13" s="77">
        <v>3405</v>
      </c>
      <c r="Y13" s="78">
        <v>0.5</v>
      </c>
      <c r="Z13" s="76" t="s">
        <v>318</v>
      </c>
      <c r="AA13" s="79" t="s">
        <v>318</v>
      </c>
      <c r="AB13" s="78" t="s">
        <v>318</v>
      </c>
      <c r="AC13" s="76">
        <v>10</v>
      </c>
      <c r="AD13" s="77">
        <v>3545</v>
      </c>
      <c r="AE13" s="78">
        <v>0.5</v>
      </c>
      <c r="AF13" s="76" t="s">
        <v>318</v>
      </c>
      <c r="AG13" s="79" t="s">
        <v>318</v>
      </c>
      <c r="AH13" s="78" t="s">
        <v>318</v>
      </c>
      <c r="AI13" s="76" t="s">
        <v>318</v>
      </c>
      <c r="AJ13" s="79" t="s">
        <v>318</v>
      </c>
      <c r="AK13" s="78" t="s">
        <v>318</v>
      </c>
      <c r="AL13" s="76" t="s">
        <v>318</v>
      </c>
      <c r="AM13" s="79" t="s">
        <v>318</v>
      </c>
      <c r="AN13" s="78" t="s">
        <v>318</v>
      </c>
      <c r="AO13" s="76" t="s">
        <v>318</v>
      </c>
      <c r="AP13" s="79" t="s">
        <v>318</v>
      </c>
      <c r="AQ13" s="78" t="s">
        <v>318</v>
      </c>
      <c r="AR13" s="76">
        <v>10</v>
      </c>
      <c r="AS13" s="77">
        <v>3346</v>
      </c>
      <c r="AT13" s="78">
        <v>0.5</v>
      </c>
      <c r="AU13" s="76">
        <v>10</v>
      </c>
      <c r="AV13" s="77">
        <v>3487</v>
      </c>
      <c r="AW13" s="78">
        <v>0.5</v>
      </c>
      <c r="AX13" s="76">
        <v>10</v>
      </c>
      <c r="AY13" s="77">
        <v>3448</v>
      </c>
      <c r="AZ13" s="78">
        <v>0.5</v>
      </c>
      <c r="BA13" s="76">
        <v>9</v>
      </c>
      <c r="BB13" s="77">
        <v>3680</v>
      </c>
      <c r="BC13" s="78">
        <v>0.6</v>
      </c>
    </row>
    <row r="14" spans="1:55" x14ac:dyDescent="0.2">
      <c r="A14" s="70" t="s">
        <v>321</v>
      </c>
      <c r="B14" s="76">
        <v>7</v>
      </c>
      <c r="C14" s="77">
        <v>5072</v>
      </c>
      <c r="D14" s="78">
        <v>0.9</v>
      </c>
      <c r="E14" s="76">
        <v>8</v>
      </c>
      <c r="F14" s="77">
        <v>4490</v>
      </c>
      <c r="G14" s="78">
        <v>0.8</v>
      </c>
      <c r="H14" s="76">
        <v>8</v>
      </c>
      <c r="I14" s="77">
        <v>3818</v>
      </c>
      <c r="J14" s="78">
        <v>0.7</v>
      </c>
      <c r="K14" s="76">
        <v>7</v>
      </c>
      <c r="L14" s="77">
        <v>4254</v>
      </c>
      <c r="M14" s="78">
        <v>0.7</v>
      </c>
      <c r="N14" s="76">
        <v>7</v>
      </c>
      <c r="O14" s="77">
        <v>3345</v>
      </c>
      <c r="P14" s="78">
        <v>0.6</v>
      </c>
      <c r="Q14" s="76">
        <v>8</v>
      </c>
      <c r="R14" s="77">
        <v>3275</v>
      </c>
      <c r="S14" s="78">
        <v>0.6</v>
      </c>
      <c r="T14" s="76">
        <v>9</v>
      </c>
      <c r="U14" s="77">
        <v>3232</v>
      </c>
      <c r="V14" s="78">
        <v>0.5</v>
      </c>
      <c r="W14" s="76" t="s">
        <v>318</v>
      </c>
      <c r="X14" s="79" t="s">
        <v>318</v>
      </c>
      <c r="Y14" s="78" t="s">
        <v>318</v>
      </c>
      <c r="Z14" s="76" t="s">
        <v>318</v>
      </c>
      <c r="AA14" s="79" t="s">
        <v>318</v>
      </c>
      <c r="AB14" s="78" t="s">
        <v>318</v>
      </c>
      <c r="AC14" s="76" t="s">
        <v>318</v>
      </c>
      <c r="AD14" s="79" t="s">
        <v>318</v>
      </c>
      <c r="AE14" s="78" t="s">
        <v>318</v>
      </c>
      <c r="AF14" s="76" t="s">
        <v>318</v>
      </c>
      <c r="AG14" s="79" t="s">
        <v>318</v>
      </c>
      <c r="AH14" s="78" t="s">
        <v>318</v>
      </c>
      <c r="AI14" s="76" t="s">
        <v>318</v>
      </c>
      <c r="AJ14" s="79" t="s">
        <v>318</v>
      </c>
      <c r="AK14" s="78" t="s">
        <v>318</v>
      </c>
      <c r="AL14" s="76" t="s">
        <v>318</v>
      </c>
      <c r="AM14" s="79" t="s">
        <v>318</v>
      </c>
      <c r="AN14" s="78" t="s">
        <v>318</v>
      </c>
      <c r="AO14" s="76" t="s">
        <v>318</v>
      </c>
      <c r="AP14" s="79" t="s">
        <v>318</v>
      </c>
      <c r="AQ14" s="78" t="s">
        <v>318</v>
      </c>
      <c r="AR14" s="76" t="s">
        <v>318</v>
      </c>
      <c r="AS14" s="79" t="s">
        <v>318</v>
      </c>
      <c r="AT14" s="78" t="s">
        <v>318</v>
      </c>
      <c r="AU14" s="76" t="s">
        <v>318</v>
      </c>
      <c r="AV14" s="79" t="s">
        <v>318</v>
      </c>
      <c r="AW14" s="78" t="s">
        <v>318</v>
      </c>
      <c r="AX14" s="76" t="s">
        <v>318</v>
      </c>
      <c r="AY14" s="79" t="s">
        <v>318</v>
      </c>
      <c r="AZ14" s="78" t="s">
        <v>318</v>
      </c>
      <c r="BA14" s="76" t="s">
        <v>318</v>
      </c>
      <c r="BB14" s="79" t="s">
        <v>318</v>
      </c>
      <c r="BC14" s="78" t="s">
        <v>318</v>
      </c>
    </row>
    <row r="15" spans="1:55" x14ac:dyDescent="0.2">
      <c r="A15" s="70" t="s">
        <v>240</v>
      </c>
      <c r="B15" s="76">
        <v>8</v>
      </c>
      <c r="C15" s="77">
        <v>4438</v>
      </c>
      <c r="D15" s="78">
        <v>0.8</v>
      </c>
      <c r="E15" s="76">
        <v>6</v>
      </c>
      <c r="F15" s="77">
        <v>5249</v>
      </c>
      <c r="G15" s="78">
        <v>0.9</v>
      </c>
      <c r="H15" s="76">
        <v>6</v>
      </c>
      <c r="I15" s="77">
        <v>6344</v>
      </c>
      <c r="J15" s="78">
        <v>1.1000000000000001</v>
      </c>
      <c r="K15" s="76">
        <v>5</v>
      </c>
      <c r="L15" s="77">
        <v>7613</v>
      </c>
      <c r="M15" s="78">
        <v>1.3</v>
      </c>
      <c r="N15" s="76">
        <v>4</v>
      </c>
      <c r="O15" s="77">
        <v>9458</v>
      </c>
      <c r="P15" s="78">
        <v>1.6</v>
      </c>
      <c r="Q15" s="76">
        <v>4</v>
      </c>
      <c r="R15" s="77">
        <v>10542</v>
      </c>
      <c r="S15" s="78">
        <v>1.8</v>
      </c>
      <c r="T15" s="76">
        <v>4</v>
      </c>
      <c r="U15" s="77">
        <v>12041</v>
      </c>
      <c r="V15" s="103">
        <v>2</v>
      </c>
      <c r="W15" s="76">
        <v>3</v>
      </c>
      <c r="X15" s="77">
        <v>13838</v>
      </c>
      <c r="Y15" s="78">
        <v>2.2000000000000002</v>
      </c>
      <c r="Z15" s="76">
        <v>2</v>
      </c>
      <c r="AA15" s="77">
        <v>15610</v>
      </c>
      <c r="AB15" s="78">
        <v>2.4</v>
      </c>
      <c r="AC15" s="76">
        <v>2</v>
      </c>
      <c r="AD15" s="77">
        <v>16956</v>
      </c>
      <c r="AE15" s="78">
        <v>2.6</v>
      </c>
      <c r="AF15" s="76">
        <v>2</v>
      </c>
      <c r="AG15" s="77">
        <v>17704</v>
      </c>
      <c r="AH15" s="78">
        <v>2.7</v>
      </c>
      <c r="AI15" s="76">
        <v>2</v>
      </c>
      <c r="AJ15" s="77">
        <v>16950</v>
      </c>
      <c r="AK15" s="78">
        <v>2.6</v>
      </c>
      <c r="AL15" s="76">
        <v>2</v>
      </c>
      <c r="AM15" s="77">
        <v>16436</v>
      </c>
      <c r="AN15" s="78">
        <v>2.5</v>
      </c>
      <c r="AO15" s="76">
        <v>2</v>
      </c>
      <c r="AP15" s="77">
        <v>16432</v>
      </c>
      <c r="AQ15" s="78">
        <v>2.4</v>
      </c>
      <c r="AR15" s="76">
        <v>2</v>
      </c>
      <c r="AS15" s="77">
        <v>16150</v>
      </c>
      <c r="AT15" s="78">
        <v>2.4</v>
      </c>
      <c r="AU15" s="76">
        <v>2</v>
      </c>
      <c r="AV15" s="77">
        <v>15619</v>
      </c>
      <c r="AW15" s="78">
        <v>2.2999999999999998</v>
      </c>
      <c r="AX15" s="76">
        <v>2</v>
      </c>
      <c r="AY15" s="77">
        <v>14574</v>
      </c>
      <c r="AZ15" s="78">
        <v>2.2000000000000002</v>
      </c>
      <c r="BA15" s="76">
        <v>2</v>
      </c>
      <c r="BB15" s="77">
        <v>12697</v>
      </c>
      <c r="BC15" s="78">
        <v>1.9</v>
      </c>
    </row>
    <row r="16" spans="1:55" x14ac:dyDescent="0.2">
      <c r="A16" s="70" t="s">
        <v>323</v>
      </c>
      <c r="B16" s="76">
        <v>9</v>
      </c>
      <c r="C16" s="77">
        <v>4123</v>
      </c>
      <c r="D16" s="78">
        <v>0.7</v>
      </c>
      <c r="E16" s="76">
        <v>9</v>
      </c>
      <c r="F16" s="77">
        <v>4399</v>
      </c>
      <c r="G16" s="78">
        <v>0.8</v>
      </c>
      <c r="H16" s="76">
        <v>7</v>
      </c>
      <c r="I16" s="77">
        <v>4377</v>
      </c>
      <c r="J16" s="78">
        <v>0.8</v>
      </c>
      <c r="K16" s="76">
        <v>8</v>
      </c>
      <c r="L16" s="77">
        <v>3768</v>
      </c>
      <c r="M16" s="78">
        <v>0.7</v>
      </c>
      <c r="N16" s="76">
        <v>8</v>
      </c>
      <c r="O16" s="77">
        <v>3344</v>
      </c>
      <c r="P16" s="78">
        <v>0.6</v>
      </c>
      <c r="Q16" s="76" t="s">
        <v>318</v>
      </c>
      <c r="R16" s="79" t="s">
        <v>318</v>
      </c>
      <c r="S16" s="78" t="s">
        <v>318</v>
      </c>
      <c r="T16" s="76" t="s">
        <v>318</v>
      </c>
      <c r="U16" s="79" t="s">
        <v>318</v>
      </c>
      <c r="V16" s="78" t="s">
        <v>318</v>
      </c>
      <c r="W16" s="76" t="s">
        <v>318</v>
      </c>
      <c r="X16" s="79" t="s">
        <v>318</v>
      </c>
      <c r="Y16" s="78" t="s">
        <v>318</v>
      </c>
      <c r="Z16" s="76" t="s">
        <v>318</v>
      </c>
      <c r="AA16" s="79" t="s">
        <v>318</v>
      </c>
      <c r="AB16" s="78" t="s">
        <v>318</v>
      </c>
      <c r="AC16" s="76" t="s">
        <v>318</v>
      </c>
      <c r="AD16" s="79" t="s">
        <v>318</v>
      </c>
      <c r="AE16" s="78" t="s">
        <v>318</v>
      </c>
      <c r="AF16" s="76" t="s">
        <v>318</v>
      </c>
      <c r="AG16" s="79" t="s">
        <v>318</v>
      </c>
      <c r="AH16" s="78" t="s">
        <v>318</v>
      </c>
      <c r="AI16" s="76" t="s">
        <v>318</v>
      </c>
      <c r="AJ16" s="79" t="s">
        <v>318</v>
      </c>
      <c r="AK16" s="78" t="s">
        <v>318</v>
      </c>
      <c r="AL16" s="76" t="s">
        <v>318</v>
      </c>
      <c r="AM16" s="79" t="s">
        <v>318</v>
      </c>
      <c r="AN16" s="78" t="s">
        <v>318</v>
      </c>
      <c r="AO16" s="76" t="s">
        <v>318</v>
      </c>
      <c r="AP16" s="79" t="s">
        <v>318</v>
      </c>
      <c r="AQ16" s="78" t="s">
        <v>318</v>
      </c>
      <c r="AR16" s="76" t="s">
        <v>318</v>
      </c>
      <c r="AS16" s="79" t="s">
        <v>318</v>
      </c>
      <c r="AT16" s="78" t="s">
        <v>318</v>
      </c>
      <c r="AU16" s="76" t="s">
        <v>318</v>
      </c>
      <c r="AV16" s="79" t="s">
        <v>318</v>
      </c>
      <c r="AW16" s="78" t="s">
        <v>318</v>
      </c>
      <c r="AX16" s="76" t="s">
        <v>318</v>
      </c>
      <c r="AY16" s="79" t="s">
        <v>318</v>
      </c>
      <c r="AZ16" s="78" t="s">
        <v>318</v>
      </c>
      <c r="BA16" s="76" t="s">
        <v>318</v>
      </c>
      <c r="BB16" s="79" t="s">
        <v>318</v>
      </c>
      <c r="BC16" s="78" t="s">
        <v>318</v>
      </c>
    </row>
    <row r="17" spans="1:55" x14ac:dyDescent="0.2">
      <c r="A17" s="70" t="s">
        <v>322</v>
      </c>
      <c r="B17" s="76">
        <v>10</v>
      </c>
      <c r="C17" s="77">
        <v>3256</v>
      </c>
      <c r="D17" s="78">
        <v>0.6</v>
      </c>
      <c r="E17" s="76">
        <v>10</v>
      </c>
      <c r="F17" s="77">
        <v>3104</v>
      </c>
      <c r="G17" s="78">
        <v>0.5</v>
      </c>
      <c r="H17" s="76">
        <v>10</v>
      </c>
      <c r="I17" s="77">
        <v>2960</v>
      </c>
      <c r="J17" s="78">
        <v>0.5</v>
      </c>
      <c r="K17" s="76" t="s">
        <v>318</v>
      </c>
      <c r="L17" s="77" t="s">
        <v>318</v>
      </c>
      <c r="M17" s="78" t="s">
        <v>318</v>
      </c>
      <c r="N17" s="76" t="s">
        <v>318</v>
      </c>
      <c r="O17" s="77" t="s">
        <v>318</v>
      </c>
      <c r="P17" s="78" t="s">
        <v>318</v>
      </c>
      <c r="Q17" s="76" t="s">
        <v>318</v>
      </c>
      <c r="R17" s="79" t="s">
        <v>318</v>
      </c>
      <c r="S17" s="78" t="s">
        <v>318</v>
      </c>
      <c r="T17" s="76" t="s">
        <v>318</v>
      </c>
      <c r="U17" s="79" t="s">
        <v>318</v>
      </c>
      <c r="V17" s="78" t="s">
        <v>318</v>
      </c>
      <c r="W17" s="76" t="s">
        <v>318</v>
      </c>
      <c r="X17" s="79" t="s">
        <v>318</v>
      </c>
      <c r="Y17" s="78" t="s">
        <v>318</v>
      </c>
      <c r="Z17" s="76" t="s">
        <v>318</v>
      </c>
      <c r="AA17" s="79" t="s">
        <v>318</v>
      </c>
      <c r="AB17" s="78" t="s">
        <v>318</v>
      </c>
      <c r="AC17" s="76" t="s">
        <v>318</v>
      </c>
      <c r="AD17" s="79" t="s">
        <v>318</v>
      </c>
      <c r="AE17" s="78" t="s">
        <v>318</v>
      </c>
      <c r="AF17" s="76" t="s">
        <v>318</v>
      </c>
      <c r="AG17" s="79" t="s">
        <v>318</v>
      </c>
      <c r="AH17" s="78" t="s">
        <v>318</v>
      </c>
      <c r="AI17" s="76" t="s">
        <v>318</v>
      </c>
      <c r="AJ17" s="79" t="s">
        <v>318</v>
      </c>
      <c r="AK17" s="78" t="s">
        <v>318</v>
      </c>
      <c r="AL17" s="76" t="s">
        <v>318</v>
      </c>
      <c r="AM17" s="79" t="s">
        <v>318</v>
      </c>
      <c r="AN17" s="78" t="s">
        <v>318</v>
      </c>
      <c r="AO17" s="76" t="s">
        <v>318</v>
      </c>
      <c r="AP17" s="79" t="s">
        <v>318</v>
      </c>
      <c r="AQ17" s="78" t="s">
        <v>318</v>
      </c>
      <c r="AR17" s="76" t="s">
        <v>318</v>
      </c>
      <c r="AS17" s="79" t="s">
        <v>318</v>
      </c>
      <c r="AT17" s="78" t="s">
        <v>318</v>
      </c>
      <c r="AU17" s="76" t="s">
        <v>318</v>
      </c>
      <c r="AV17" s="79" t="s">
        <v>318</v>
      </c>
      <c r="AW17" s="78" t="s">
        <v>318</v>
      </c>
      <c r="AX17" s="76" t="s">
        <v>318</v>
      </c>
      <c r="AY17" s="79" t="s">
        <v>318</v>
      </c>
      <c r="AZ17" s="78" t="s">
        <v>318</v>
      </c>
      <c r="BA17" s="76" t="s">
        <v>318</v>
      </c>
      <c r="BB17" s="79" t="s">
        <v>318</v>
      </c>
      <c r="BC17" s="78" t="s">
        <v>318</v>
      </c>
    </row>
    <row r="18" spans="1:55" x14ac:dyDescent="0.2">
      <c r="A18" s="70" t="s">
        <v>325</v>
      </c>
      <c r="B18" s="76" t="s">
        <v>318</v>
      </c>
      <c r="C18" s="77" t="s">
        <v>318</v>
      </c>
      <c r="D18" s="80" t="s">
        <v>318</v>
      </c>
      <c r="E18" s="76" t="s">
        <v>318</v>
      </c>
      <c r="F18" s="77" t="s">
        <v>318</v>
      </c>
      <c r="G18" s="78" t="s">
        <v>318</v>
      </c>
      <c r="H18" s="76" t="s">
        <v>318</v>
      </c>
      <c r="I18" s="77" t="s">
        <v>318</v>
      </c>
      <c r="J18" s="78" t="s">
        <v>318</v>
      </c>
      <c r="K18" s="76" t="s">
        <v>318</v>
      </c>
      <c r="L18" s="77" t="s">
        <v>318</v>
      </c>
      <c r="M18" s="78" t="s">
        <v>318</v>
      </c>
      <c r="N18" s="76" t="s">
        <v>318</v>
      </c>
      <c r="O18" s="77" t="s">
        <v>318</v>
      </c>
      <c r="P18" s="78" t="s">
        <v>318</v>
      </c>
      <c r="Q18" s="76">
        <v>10</v>
      </c>
      <c r="R18" s="77">
        <v>3107</v>
      </c>
      <c r="S18" s="78">
        <v>0.5</v>
      </c>
      <c r="T18" s="76">
        <v>10</v>
      </c>
      <c r="U18" s="77">
        <v>3198</v>
      </c>
      <c r="V18" s="78">
        <v>0.5</v>
      </c>
      <c r="W18" s="76">
        <v>7</v>
      </c>
      <c r="X18" s="77">
        <v>3653</v>
      </c>
      <c r="Y18" s="78">
        <v>0.6</v>
      </c>
      <c r="Z18" s="76">
        <v>8</v>
      </c>
      <c r="AA18" s="77">
        <v>3687</v>
      </c>
      <c r="AB18" s="78">
        <v>0.6</v>
      </c>
      <c r="AC18" s="76">
        <v>8</v>
      </c>
      <c r="AD18" s="77">
        <v>3875</v>
      </c>
      <c r="AE18" s="78">
        <v>0.6</v>
      </c>
      <c r="AF18" s="76">
        <v>8</v>
      </c>
      <c r="AG18" s="77">
        <v>3972</v>
      </c>
      <c r="AH18" s="78">
        <v>0.6</v>
      </c>
      <c r="AI18" s="76">
        <v>8</v>
      </c>
      <c r="AJ18" s="77">
        <v>3988</v>
      </c>
      <c r="AK18" s="78">
        <v>0.6</v>
      </c>
      <c r="AL18" s="76">
        <v>8</v>
      </c>
      <c r="AM18" s="77">
        <v>3957</v>
      </c>
      <c r="AN18" s="78">
        <v>0.6</v>
      </c>
      <c r="AO18" s="76">
        <v>8</v>
      </c>
      <c r="AP18" s="77">
        <v>4187</v>
      </c>
      <c r="AQ18" s="78">
        <v>0.6</v>
      </c>
      <c r="AR18" s="76">
        <v>8</v>
      </c>
      <c r="AS18" s="77">
        <v>4298</v>
      </c>
      <c r="AT18" s="78">
        <v>0.6</v>
      </c>
      <c r="AU18" s="76">
        <v>8</v>
      </c>
      <c r="AV18" s="77">
        <v>4368</v>
      </c>
      <c r="AW18" s="78">
        <v>0.6</v>
      </c>
      <c r="AX18" s="76">
        <v>8</v>
      </c>
      <c r="AY18" s="77">
        <v>4177</v>
      </c>
      <c r="AZ18" s="78">
        <v>0.6</v>
      </c>
      <c r="BA18" s="76">
        <v>7</v>
      </c>
      <c r="BB18" s="77">
        <v>4252</v>
      </c>
      <c r="BC18" s="78">
        <v>0.6</v>
      </c>
    </row>
    <row r="19" spans="1:55" x14ac:dyDescent="0.2">
      <c r="A19" s="70" t="s">
        <v>328</v>
      </c>
      <c r="B19" s="76" t="s">
        <v>318</v>
      </c>
      <c r="C19" s="77" t="s">
        <v>318</v>
      </c>
      <c r="D19" s="80" t="s">
        <v>318</v>
      </c>
      <c r="E19" s="76" t="s">
        <v>318</v>
      </c>
      <c r="F19" s="77" t="s">
        <v>318</v>
      </c>
      <c r="G19" s="78" t="s">
        <v>318</v>
      </c>
      <c r="H19" s="76" t="s">
        <v>318</v>
      </c>
      <c r="I19" s="77" t="s">
        <v>318</v>
      </c>
      <c r="J19" s="78" t="s">
        <v>318</v>
      </c>
      <c r="K19" s="76" t="s">
        <v>318</v>
      </c>
      <c r="L19" s="77" t="s">
        <v>318</v>
      </c>
      <c r="M19" s="78" t="s">
        <v>318</v>
      </c>
      <c r="N19" s="76" t="s">
        <v>318</v>
      </c>
      <c r="O19" s="77" t="s">
        <v>318</v>
      </c>
      <c r="P19" s="78" t="s">
        <v>318</v>
      </c>
      <c r="Q19" s="76" t="s">
        <v>318</v>
      </c>
      <c r="R19" s="79" t="s">
        <v>318</v>
      </c>
      <c r="S19" s="78" t="s">
        <v>318</v>
      </c>
      <c r="T19" s="76" t="s">
        <v>318</v>
      </c>
      <c r="U19" s="79" t="s">
        <v>318</v>
      </c>
      <c r="V19" s="78" t="s">
        <v>318</v>
      </c>
      <c r="W19" s="76" t="s">
        <v>318</v>
      </c>
      <c r="X19" s="79" t="s">
        <v>318</v>
      </c>
      <c r="Y19" s="78" t="s">
        <v>318</v>
      </c>
      <c r="Z19" s="76">
        <v>10</v>
      </c>
      <c r="AA19" s="77">
        <v>3454</v>
      </c>
      <c r="AB19" s="78">
        <v>0.5</v>
      </c>
      <c r="AC19" s="76" t="s">
        <v>318</v>
      </c>
      <c r="AD19" s="79" t="s">
        <v>318</v>
      </c>
      <c r="AE19" s="78" t="s">
        <v>318</v>
      </c>
      <c r="AF19" s="76">
        <v>10</v>
      </c>
      <c r="AG19" s="77">
        <v>3512</v>
      </c>
      <c r="AH19" s="78">
        <v>0.5</v>
      </c>
      <c r="AI19" s="76" t="s">
        <v>318</v>
      </c>
      <c r="AJ19" s="79" t="s">
        <v>318</v>
      </c>
      <c r="AK19" s="78" t="s">
        <v>318</v>
      </c>
      <c r="AL19" s="76" t="s">
        <v>318</v>
      </c>
      <c r="AM19" s="79" t="s">
        <v>318</v>
      </c>
      <c r="AN19" s="78" t="s">
        <v>318</v>
      </c>
      <c r="AO19" s="76" t="s">
        <v>318</v>
      </c>
      <c r="AP19" s="79" t="s">
        <v>318</v>
      </c>
      <c r="AQ19" s="78" t="s">
        <v>318</v>
      </c>
      <c r="AR19" s="76" t="s">
        <v>318</v>
      </c>
      <c r="AS19" s="79" t="s">
        <v>318</v>
      </c>
      <c r="AT19" s="78" t="s">
        <v>318</v>
      </c>
      <c r="AU19" s="76" t="s">
        <v>318</v>
      </c>
      <c r="AV19" s="79" t="s">
        <v>318</v>
      </c>
      <c r="AW19" s="78" t="s">
        <v>318</v>
      </c>
      <c r="AX19" s="76" t="s">
        <v>318</v>
      </c>
      <c r="AY19" s="79" t="s">
        <v>318</v>
      </c>
      <c r="AZ19" s="78" t="s">
        <v>318</v>
      </c>
      <c r="BA19" s="76" t="s">
        <v>318</v>
      </c>
      <c r="BB19" s="79" t="s">
        <v>318</v>
      </c>
      <c r="BC19" s="78" t="s">
        <v>318</v>
      </c>
    </row>
    <row r="20" spans="1:55" x14ac:dyDescent="0.2">
      <c r="A20" s="70" t="s">
        <v>329</v>
      </c>
      <c r="B20" s="76" t="s">
        <v>318</v>
      </c>
      <c r="C20" s="77" t="s">
        <v>318</v>
      </c>
      <c r="D20" s="80" t="s">
        <v>318</v>
      </c>
      <c r="E20" s="76" t="s">
        <v>318</v>
      </c>
      <c r="F20" s="77" t="s">
        <v>318</v>
      </c>
      <c r="G20" s="78" t="s">
        <v>318</v>
      </c>
      <c r="H20" s="76" t="s">
        <v>318</v>
      </c>
      <c r="I20" s="77" t="s">
        <v>318</v>
      </c>
      <c r="J20" s="78" t="s">
        <v>318</v>
      </c>
      <c r="K20" s="76">
        <v>10</v>
      </c>
      <c r="L20" s="77">
        <v>3039</v>
      </c>
      <c r="M20" s="78">
        <v>0.5</v>
      </c>
      <c r="N20" s="76">
        <v>9</v>
      </c>
      <c r="O20" s="77">
        <v>3168</v>
      </c>
      <c r="P20" s="78">
        <v>0.5</v>
      </c>
      <c r="Q20" s="76">
        <v>7</v>
      </c>
      <c r="R20" s="77">
        <v>3289</v>
      </c>
      <c r="S20" s="78">
        <v>0.6</v>
      </c>
      <c r="T20" s="76">
        <v>7</v>
      </c>
      <c r="U20" s="77">
        <v>3586</v>
      </c>
      <c r="V20" s="78">
        <v>0.6</v>
      </c>
      <c r="W20" s="76">
        <v>8</v>
      </c>
      <c r="X20" s="77">
        <v>3635</v>
      </c>
      <c r="Y20" s="78">
        <v>0.6</v>
      </c>
      <c r="Z20" s="76">
        <v>7</v>
      </c>
      <c r="AA20" s="77">
        <v>4139</v>
      </c>
      <c r="AB20" s="78">
        <v>0.6</v>
      </c>
      <c r="AC20" s="76">
        <v>7</v>
      </c>
      <c r="AD20" s="77">
        <v>4346</v>
      </c>
      <c r="AE20" s="78">
        <v>0.7</v>
      </c>
      <c r="AF20" s="76">
        <v>7</v>
      </c>
      <c r="AG20" s="77">
        <v>4286</v>
      </c>
      <c r="AH20" s="78">
        <v>0.6</v>
      </c>
      <c r="AI20" s="76">
        <v>7</v>
      </c>
      <c r="AJ20" s="77">
        <v>4334</v>
      </c>
      <c r="AK20" s="78">
        <v>0.7</v>
      </c>
      <c r="AL20" s="76">
        <v>6</v>
      </c>
      <c r="AM20" s="77">
        <v>4540</v>
      </c>
      <c r="AN20" s="78">
        <v>0.7</v>
      </c>
      <c r="AO20" s="76">
        <v>6</v>
      </c>
      <c r="AP20" s="77">
        <v>4877</v>
      </c>
      <c r="AQ20" s="78">
        <v>0.7</v>
      </c>
      <c r="AR20" s="76">
        <v>6</v>
      </c>
      <c r="AS20" s="77">
        <v>5171</v>
      </c>
      <c r="AT20" s="78">
        <v>0.8</v>
      </c>
      <c r="AU20" s="76">
        <v>6</v>
      </c>
      <c r="AV20" s="77">
        <v>5311</v>
      </c>
      <c r="AW20" s="78">
        <v>0.8</v>
      </c>
      <c r="AX20" s="76">
        <v>6</v>
      </c>
      <c r="AY20" s="77">
        <v>5293</v>
      </c>
      <c r="AZ20" s="78">
        <v>0.8</v>
      </c>
      <c r="BA20" s="76">
        <v>6</v>
      </c>
      <c r="BB20" s="77">
        <v>5450</v>
      </c>
      <c r="BC20" s="78">
        <v>0.8</v>
      </c>
    </row>
    <row r="21" spans="1:55" x14ac:dyDescent="0.2">
      <c r="A21" s="70" t="s">
        <v>330</v>
      </c>
      <c r="B21" s="76" t="s">
        <v>318</v>
      </c>
      <c r="C21" s="77" t="s">
        <v>318</v>
      </c>
      <c r="D21" s="80" t="s">
        <v>318</v>
      </c>
      <c r="E21" s="76" t="s">
        <v>318</v>
      </c>
      <c r="F21" s="77" t="s">
        <v>318</v>
      </c>
      <c r="G21" s="78" t="s">
        <v>318</v>
      </c>
      <c r="H21" s="76" t="s">
        <v>318</v>
      </c>
      <c r="I21" s="77" t="s">
        <v>318</v>
      </c>
      <c r="J21" s="78" t="s">
        <v>318</v>
      </c>
      <c r="K21" s="76" t="s">
        <v>318</v>
      </c>
      <c r="L21" s="77" t="s">
        <v>318</v>
      </c>
      <c r="M21" s="78" t="s">
        <v>318</v>
      </c>
      <c r="N21" s="76" t="s">
        <v>318</v>
      </c>
      <c r="O21" s="77" t="s">
        <v>318</v>
      </c>
      <c r="P21" s="78" t="s">
        <v>318</v>
      </c>
      <c r="Q21" s="76" t="s">
        <v>318</v>
      </c>
      <c r="R21" s="79" t="s">
        <v>318</v>
      </c>
      <c r="S21" s="78" t="s">
        <v>318</v>
      </c>
      <c r="T21" s="76" t="s">
        <v>318</v>
      </c>
      <c r="U21" s="79" t="s">
        <v>318</v>
      </c>
      <c r="V21" s="78" t="s">
        <v>318</v>
      </c>
      <c r="W21" s="76">
        <v>10</v>
      </c>
      <c r="X21" s="77">
        <v>3178</v>
      </c>
      <c r="Y21" s="78">
        <v>0.5</v>
      </c>
      <c r="Z21" s="76">
        <v>9</v>
      </c>
      <c r="AA21" s="77">
        <v>3473</v>
      </c>
      <c r="AB21" s="78">
        <v>0.5</v>
      </c>
      <c r="AC21" s="76">
        <v>9</v>
      </c>
      <c r="AD21" s="77">
        <v>3559</v>
      </c>
      <c r="AE21" s="78">
        <v>0.5</v>
      </c>
      <c r="AF21" s="76">
        <v>9</v>
      </c>
      <c r="AG21" s="77">
        <v>3618</v>
      </c>
      <c r="AH21" s="78">
        <v>0.5</v>
      </c>
      <c r="AI21" s="76">
        <v>9</v>
      </c>
      <c r="AJ21" s="77">
        <v>3744</v>
      </c>
      <c r="AK21" s="78">
        <v>0.6</v>
      </c>
      <c r="AL21" s="76">
        <v>9</v>
      </c>
      <c r="AM21" s="77">
        <v>3885</v>
      </c>
      <c r="AN21" s="78">
        <v>0.6</v>
      </c>
      <c r="AO21" s="76">
        <v>7</v>
      </c>
      <c r="AP21" s="77">
        <v>4337</v>
      </c>
      <c r="AQ21" s="78">
        <v>0.6</v>
      </c>
      <c r="AR21" s="76">
        <v>7</v>
      </c>
      <c r="AS21" s="77">
        <v>4325</v>
      </c>
      <c r="AT21" s="78">
        <v>0.6</v>
      </c>
      <c r="AU21" s="76">
        <v>7</v>
      </c>
      <c r="AV21" s="77">
        <v>4485</v>
      </c>
      <c r="AW21" s="78">
        <v>0.7</v>
      </c>
      <c r="AX21" s="76">
        <v>7</v>
      </c>
      <c r="AY21" s="77">
        <v>4209</v>
      </c>
      <c r="AZ21" s="78">
        <v>0.6</v>
      </c>
      <c r="BA21" s="76">
        <v>8</v>
      </c>
      <c r="BB21" s="77">
        <v>4241</v>
      </c>
      <c r="BC21" s="78">
        <v>0.6</v>
      </c>
    </row>
    <row r="22" spans="1:55" x14ac:dyDescent="0.2">
      <c r="A22" s="71" t="s">
        <v>331</v>
      </c>
      <c r="B22" s="81" t="s">
        <v>318</v>
      </c>
      <c r="C22" s="82" t="s">
        <v>318</v>
      </c>
      <c r="D22" s="83" t="s">
        <v>318</v>
      </c>
      <c r="E22" s="81" t="s">
        <v>318</v>
      </c>
      <c r="F22" s="82" t="s">
        <v>318</v>
      </c>
      <c r="G22" s="84" t="s">
        <v>318</v>
      </c>
      <c r="H22" s="81" t="s">
        <v>318</v>
      </c>
      <c r="I22" s="82" t="s">
        <v>318</v>
      </c>
      <c r="J22" s="84" t="s">
        <v>318</v>
      </c>
      <c r="K22" s="81" t="s">
        <v>318</v>
      </c>
      <c r="L22" s="82" t="s">
        <v>318</v>
      </c>
      <c r="M22" s="84" t="s">
        <v>318</v>
      </c>
      <c r="N22" s="81" t="s">
        <v>318</v>
      </c>
      <c r="O22" s="82" t="s">
        <v>318</v>
      </c>
      <c r="P22" s="84" t="s">
        <v>318</v>
      </c>
      <c r="Q22" s="81" t="s">
        <v>318</v>
      </c>
      <c r="R22" s="85" t="s">
        <v>318</v>
      </c>
      <c r="S22" s="84" t="s">
        <v>318</v>
      </c>
      <c r="T22" s="81" t="s">
        <v>318</v>
      </c>
      <c r="U22" s="85" t="s">
        <v>318</v>
      </c>
      <c r="V22" s="84" t="s">
        <v>318</v>
      </c>
      <c r="W22" s="81" t="s">
        <v>318</v>
      </c>
      <c r="X22" s="85" t="s">
        <v>318</v>
      </c>
      <c r="Y22" s="84" t="s">
        <v>318</v>
      </c>
      <c r="Z22" s="81" t="s">
        <v>318</v>
      </c>
      <c r="AA22" s="85" t="s">
        <v>318</v>
      </c>
      <c r="AB22" s="84" t="s">
        <v>318</v>
      </c>
      <c r="AC22" s="81" t="s">
        <v>318</v>
      </c>
      <c r="AD22" s="85" t="s">
        <v>318</v>
      </c>
      <c r="AE22" s="84" t="s">
        <v>318</v>
      </c>
      <c r="AF22" s="81" t="s">
        <v>318</v>
      </c>
      <c r="AG22" s="85" t="s">
        <v>318</v>
      </c>
      <c r="AH22" s="84" t="s">
        <v>318</v>
      </c>
      <c r="AI22" s="81">
        <v>10</v>
      </c>
      <c r="AJ22" s="82">
        <v>3509</v>
      </c>
      <c r="AK22" s="84">
        <v>0.5</v>
      </c>
      <c r="AL22" s="81">
        <v>10</v>
      </c>
      <c r="AM22" s="82">
        <v>3530</v>
      </c>
      <c r="AN22" s="84">
        <v>0.5</v>
      </c>
      <c r="AO22" s="81">
        <v>10</v>
      </c>
      <c r="AP22" s="82">
        <v>3745</v>
      </c>
      <c r="AQ22" s="84">
        <v>0.5</v>
      </c>
      <c r="AR22" s="81">
        <v>9</v>
      </c>
      <c r="AS22" s="82">
        <v>3698</v>
      </c>
      <c r="AT22" s="84">
        <v>0.5</v>
      </c>
      <c r="AU22" s="81">
        <v>9</v>
      </c>
      <c r="AV22" s="82">
        <v>3717</v>
      </c>
      <c r="AW22" s="84">
        <v>0.5</v>
      </c>
      <c r="AX22" s="81">
        <v>9</v>
      </c>
      <c r="AY22" s="82">
        <v>3494</v>
      </c>
      <c r="AZ22" s="84">
        <v>0.5</v>
      </c>
      <c r="BA22" s="81">
        <v>10</v>
      </c>
      <c r="BB22" s="82">
        <v>3548</v>
      </c>
      <c r="BC22" s="84">
        <v>0.5</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38"/>
  <sheetViews>
    <sheetView showGridLines="0" workbookViewId="0"/>
  </sheetViews>
  <sheetFormatPr defaultColWidth="11.5546875" defaultRowHeight="15" x14ac:dyDescent="0.2"/>
  <cols>
    <col min="1" max="1" width="30.6640625" customWidth="1"/>
    <col min="2" max="33" width="12.6640625" customWidth="1"/>
  </cols>
  <sheetData>
    <row r="1" spans="1:33" ht="20.25" x14ac:dyDescent="0.3">
      <c r="A1" s="6" t="s">
        <v>356</v>
      </c>
    </row>
    <row r="2" spans="1:33" x14ac:dyDescent="0.2">
      <c r="A2" t="s">
        <v>94</v>
      </c>
    </row>
    <row r="3" spans="1:33" x14ac:dyDescent="0.2">
      <c r="A3" t="s">
        <v>357</v>
      </c>
    </row>
    <row r="4" spans="1:33" x14ac:dyDescent="0.2">
      <c r="A4" t="s">
        <v>217</v>
      </c>
    </row>
    <row r="5" spans="1:33" x14ac:dyDescent="0.2">
      <c r="A5" t="s">
        <v>218</v>
      </c>
    </row>
    <row r="6" spans="1:33" ht="94.5" x14ac:dyDescent="0.25">
      <c r="A6" s="87" t="s">
        <v>334</v>
      </c>
      <c r="B6" s="88" t="s">
        <v>358</v>
      </c>
      <c r="C6" s="88" t="s">
        <v>359</v>
      </c>
      <c r="D6" s="88" t="s">
        <v>360</v>
      </c>
      <c r="E6" s="88" t="s">
        <v>361</v>
      </c>
      <c r="F6" s="88" t="s">
        <v>362</v>
      </c>
      <c r="G6" s="88" t="s">
        <v>363</v>
      </c>
      <c r="H6" s="88" t="s">
        <v>364</v>
      </c>
      <c r="I6" s="88" t="s">
        <v>365</v>
      </c>
      <c r="J6" s="88" t="s">
        <v>366</v>
      </c>
      <c r="K6" s="88" t="s">
        <v>367</v>
      </c>
      <c r="L6" s="88" t="s">
        <v>368</v>
      </c>
      <c r="M6" s="88" t="s">
        <v>369</v>
      </c>
      <c r="N6" s="88" t="s">
        <v>370</v>
      </c>
      <c r="O6" s="88" t="s">
        <v>371</v>
      </c>
      <c r="P6" s="88" t="s">
        <v>372</v>
      </c>
      <c r="Q6" s="88" t="s">
        <v>373</v>
      </c>
      <c r="R6" s="88" t="s">
        <v>374</v>
      </c>
      <c r="S6" s="88" t="s">
        <v>375</v>
      </c>
      <c r="T6" s="88" t="s">
        <v>376</v>
      </c>
      <c r="U6" s="88" t="s">
        <v>377</v>
      </c>
      <c r="V6" s="88" t="s">
        <v>378</v>
      </c>
      <c r="W6" s="88" t="s">
        <v>379</v>
      </c>
      <c r="X6" s="88" t="s">
        <v>380</v>
      </c>
      <c r="Y6" s="88" t="s">
        <v>381</v>
      </c>
      <c r="Z6" s="88" t="s">
        <v>382</v>
      </c>
      <c r="AA6" s="88" t="s">
        <v>383</v>
      </c>
      <c r="AB6" s="88" t="s">
        <v>384</v>
      </c>
      <c r="AC6" s="88" t="s">
        <v>385</v>
      </c>
      <c r="AD6" s="88" t="s">
        <v>386</v>
      </c>
      <c r="AE6" s="88" t="s">
        <v>387</v>
      </c>
      <c r="AF6" s="88" t="s">
        <v>388</v>
      </c>
      <c r="AG6" s="88" t="s">
        <v>389</v>
      </c>
    </row>
    <row r="7" spans="1:33" s="23" customFormat="1" ht="15.75" x14ac:dyDescent="0.25">
      <c r="A7" s="21" t="s">
        <v>238</v>
      </c>
      <c r="B7" s="22">
        <v>585396</v>
      </c>
      <c r="C7" s="22">
        <v>382732</v>
      </c>
      <c r="D7" s="22">
        <v>202612</v>
      </c>
      <c r="E7" s="22">
        <v>43776</v>
      </c>
      <c r="F7" s="22">
        <v>26841</v>
      </c>
      <c r="G7" s="22">
        <v>6943</v>
      </c>
      <c r="H7" s="22">
        <v>10649</v>
      </c>
      <c r="I7" s="22">
        <v>11829</v>
      </c>
      <c r="J7" s="22">
        <v>42589</v>
      </c>
      <c r="K7" s="22">
        <v>4951</v>
      </c>
      <c r="L7" s="22">
        <v>22078</v>
      </c>
      <c r="M7" s="22">
        <v>1634</v>
      </c>
      <c r="N7" s="22">
        <v>11036</v>
      </c>
      <c r="O7" s="22">
        <v>2872</v>
      </c>
      <c r="P7" s="22">
        <v>11176</v>
      </c>
      <c r="Q7" s="22">
        <v>4453</v>
      </c>
      <c r="R7" s="22">
        <v>543</v>
      </c>
      <c r="S7" s="22">
        <v>4354</v>
      </c>
      <c r="T7" s="22">
        <v>1826</v>
      </c>
      <c r="U7" s="22">
        <v>91265</v>
      </c>
      <c r="V7" s="22">
        <v>11750</v>
      </c>
      <c r="W7" s="22">
        <v>451</v>
      </c>
      <c r="X7" s="22">
        <v>3968</v>
      </c>
      <c r="Y7" s="22">
        <v>69023</v>
      </c>
      <c r="Z7" s="22">
        <v>27601</v>
      </c>
      <c r="AA7" s="22">
        <v>22058</v>
      </c>
      <c r="AB7" s="22">
        <v>10334</v>
      </c>
      <c r="AC7" s="22">
        <v>6018</v>
      </c>
      <c r="AD7" s="22">
        <v>1977</v>
      </c>
      <c r="AE7" s="22">
        <v>1817</v>
      </c>
      <c r="AF7" s="22">
        <v>160</v>
      </c>
      <c r="AG7" s="22">
        <v>52</v>
      </c>
    </row>
    <row r="8" spans="1:33" s="23" customFormat="1" ht="15.75" x14ac:dyDescent="0.25">
      <c r="A8" s="21" t="s">
        <v>111</v>
      </c>
      <c r="B8" s="22">
        <v>367509</v>
      </c>
      <c r="C8" s="22">
        <v>330040</v>
      </c>
      <c r="D8" s="22">
        <v>37465</v>
      </c>
      <c r="E8" s="22">
        <v>12993</v>
      </c>
      <c r="F8" s="22">
        <v>5217</v>
      </c>
      <c r="G8" s="22">
        <v>2056</v>
      </c>
      <c r="H8" s="22">
        <v>693</v>
      </c>
      <c r="I8" s="22">
        <v>1722</v>
      </c>
      <c r="J8" s="22">
        <v>3983</v>
      </c>
      <c r="K8" s="22">
        <v>606</v>
      </c>
      <c r="L8" s="22">
        <v>781</v>
      </c>
      <c r="M8" s="22">
        <v>132</v>
      </c>
      <c r="N8" s="22">
        <v>1236</v>
      </c>
      <c r="O8" s="22">
        <v>1225</v>
      </c>
      <c r="P8" s="22">
        <v>4475</v>
      </c>
      <c r="Q8" s="22">
        <v>2634</v>
      </c>
      <c r="R8" s="22">
        <v>217</v>
      </c>
      <c r="S8" s="22">
        <v>1194</v>
      </c>
      <c r="T8" s="22">
        <v>430</v>
      </c>
      <c r="U8" s="22">
        <v>13144</v>
      </c>
      <c r="V8" s="22">
        <v>1203</v>
      </c>
      <c r="W8" s="22">
        <v>75</v>
      </c>
      <c r="X8" s="22">
        <v>1310</v>
      </c>
      <c r="Y8" s="22">
        <v>8690</v>
      </c>
      <c r="Z8" s="22">
        <v>1360</v>
      </c>
      <c r="AA8" s="22">
        <v>5574</v>
      </c>
      <c r="AB8" s="22">
        <v>1458</v>
      </c>
      <c r="AC8" s="22">
        <v>1843</v>
      </c>
      <c r="AD8" s="22">
        <v>1148</v>
      </c>
      <c r="AE8" s="22">
        <v>1121</v>
      </c>
      <c r="AF8" s="22">
        <v>27</v>
      </c>
      <c r="AG8" s="22">
        <v>4</v>
      </c>
    </row>
    <row r="9" spans="1:33" s="23" customFormat="1" ht="15.75" x14ac:dyDescent="0.25">
      <c r="A9" s="21" t="s">
        <v>239</v>
      </c>
      <c r="B9" s="22">
        <v>192675</v>
      </c>
      <c r="C9" s="22">
        <v>32651</v>
      </c>
      <c r="D9" s="22">
        <v>160016</v>
      </c>
      <c r="E9" s="22">
        <v>29014</v>
      </c>
      <c r="F9" s="22">
        <v>20329</v>
      </c>
      <c r="G9" s="22">
        <v>4663</v>
      </c>
      <c r="H9" s="22">
        <v>9428</v>
      </c>
      <c r="I9" s="22">
        <v>9582</v>
      </c>
      <c r="J9" s="22">
        <v>36920</v>
      </c>
      <c r="K9" s="22">
        <v>4309</v>
      </c>
      <c r="L9" s="22">
        <v>20585</v>
      </c>
      <c r="M9" s="22">
        <v>1344</v>
      </c>
      <c r="N9" s="22">
        <v>9112</v>
      </c>
      <c r="O9" s="22">
        <v>1558</v>
      </c>
      <c r="P9" s="22">
        <v>6310</v>
      </c>
      <c r="Q9" s="22">
        <v>1753</v>
      </c>
      <c r="R9" s="22">
        <v>316</v>
      </c>
      <c r="S9" s="22">
        <v>3049</v>
      </c>
      <c r="T9" s="22">
        <v>1192</v>
      </c>
      <c r="U9" s="22">
        <v>77397</v>
      </c>
      <c r="V9" s="22">
        <v>10431</v>
      </c>
      <c r="W9" s="22">
        <v>368</v>
      </c>
      <c r="X9" s="22">
        <v>2614</v>
      </c>
      <c r="Y9" s="22">
        <v>59928</v>
      </c>
      <c r="Z9" s="22">
        <v>26162</v>
      </c>
      <c r="AA9" s="22">
        <v>16322</v>
      </c>
      <c r="AB9" s="22">
        <v>8789</v>
      </c>
      <c r="AC9" s="22">
        <v>4024</v>
      </c>
      <c r="AD9" s="22">
        <v>793</v>
      </c>
      <c r="AE9" s="22">
        <v>670</v>
      </c>
      <c r="AF9" s="22">
        <v>123</v>
      </c>
      <c r="AG9" s="22">
        <v>8</v>
      </c>
    </row>
    <row r="10" spans="1:33" s="23" customFormat="1" ht="15.75" x14ac:dyDescent="0.25">
      <c r="A10" s="21" t="s">
        <v>114</v>
      </c>
      <c r="B10" s="22">
        <v>35414</v>
      </c>
      <c r="C10" s="22">
        <v>8696</v>
      </c>
      <c r="D10" s="22">
        <v>26715</v>
      </c>
      <c r="E10" s="22">
        <v>22351</v>
      </c>
      <c r="F10" s="22">
        <v>17331</v>
      </c>
      <c r="G10" s="22">
        <v>3828</v>
      </c>
      <c r="H10" s="22">
        <v>8655</v>
      </c>
      <c r="I10" s="22">
        <v>1066</v>
      </c>
      <c r="J10" s="22">
        <v>790</v>
      </c>
      <c r="K10" s="22">
        <v>142</v>
      </c>
      <c r="L10" s="22">
        <v>229</v>
      </c>
      <c r="M10" s="22">
        <v>71</v>
      </c>
      <c r="N10" s="22">
        <v>213</v>
      </c>
      <c r="O10" s="22">
        <v>134</v>
      </c>
      <c r="P10" s="22">
        <v>943</v>
      </c>
      <c r="Q10" s="22">
        <v>315</v>
      </c>
      <c r="R10" s="22">
        <v>61</v>
      </c>
      <c r="S10" s="22">
        <v>491</v>
      </c>
      <c r="T10" s="22">
        <v>76</v>
      </c>
      <c r="U10" s="22">
        <v>1435</v>
      </c>
      <c r="V10" s="22">
        <v>171</v>
      </c>
      <c r="W10" s="22">
        <v>44</v>
      </c>
      <c r="X10" s="22">
        <v>338</v>
      </c>
      <c r="Y10" s="22">
        <v>477</v>
      </c>
      <c r="Z10" s="22">
        <v>141</v>
      </c>
      <c r="AA10" s="22">
        <v>219</v>
      </c>
      <c r="AB10" s="22">
        <v>28</v>
      </c>
      <c r="AC10" s="22">
        <v>397</v>
      </c>
      <c r="AD10" s="22">
        <v>130</v>
      </c>
      <c r="AE10" s="22">
        <v>128</v>
      </c>
      <c r="AF10" s="22">
        <v>2</v>
      </c>
      <c r="AG10" s="22">
        <v>3</v>
      </c>
    </row>
    <row r="11" spans="1:33" x14ac:dyDescent="0.2">
      <c r="A11" s="10" t="s">
        <v>117</v>
      </c>
      <c r="B11" s="14">
        <v>20763</v>
      </c>
      <c r="C11" s="14">
        <v>2306</v>
      </c>
      <c r="D11" s="14">
        <v>18456</v>
      </c>
      <c r="E11" s="14">
        <v>17010</v>
      </c>
      <c r="F11" s="14">
        <v>16491</v>
      </c>
      <c r="G11" s="14">
        <v>3571</v>
      </c>
      <c r="H11" s="14">
        <v>8421</v>
      </c>
      <c r="I11" s="14">
        <v>601</v>
      </c>
      <c r="J11" s="14">
        <v>180</v>
      </c>
      <c r="K11" s="14">
        <v>35</v>
      </c>
      <c r="L11" s="14">
        <v>55</v>
      </c>
      <c r="M11" s="14">
        <v>13</v>
      </c>
      <c r="N11" s="14">
        <v>45</v>
      </c>
      <c r="O11" s="14">
        <v>32</v>
      </c>
      <c r="P11" s="14">
        <v>205</v>
      </c>
      <c r="Q11" s="14">
        <v>53</v>
      </c>
      <c r="R11" s="14">
        <v>19</v>
      </c>
      <c r="S11" s="14">
        <v>113</v>
      </c>
      <c r="T11" s="14">
        <v>20</v>
      </c>
      <c r="U11" s="14">
        <v>442</v>
      </c>
      <c r="V11" s="14">
        <v>41</v>
      </c>
      <c r="W11" s="14">
        <v>24</v>
      </c>
      <c r="X11" s="14">
        <v>87</v>
      </c>
      <c r="Y11" s="14">
        <v>77</v>
      </c>
      <c r="Z11" s="14">
        <v>40</v>
      </c>
      <c r="AA11" s="14">
        <v>8</v>
      </c>
      <c r="AB11" s="14">
        <v>5</v>
      </c>
      <c r="AC11" s="14">
        <v>213</v>
      </c>
      <c r="AD11" s="14">
        <v>18</v>
      </c>
      <c r="AE11" s="14">
        <v>18</v>
      </c>
      <c r="AF11" s="14">
        <v>0</v>
      </c>
      <c r="AG11" s="14">
        <v>1</v>
      </c>
    </row>
    <row r="12" spans="1:33" x14ac:dyDescent="0.2">
      <c r="A12" s="10" t="s">
        <v>240</v>
      </c>
      <c r="B12" s="14">
        <v>4438</v>
      </c>
      <c r="C12" s="14">
        <v>669</v>
      </c>
      <c r="D12" s="14">
        <v>3769</v>
      </c>
      <c r="E12" s="14">
        <v>3486</v>
      </c>
      <c r="F12" s="14">
        <v>3407</v>
      </c>
      <c r="G12" s="14">
        <v>3250</v>
      </c>
      <c r="H12" s="14">
        <v>32</v>
      </c>
      <c r="I12" s="14">
        <v>67</v>
      </c>
      <c r="J12" s="14">
        <v>54</v>
      </c>
      <c r="K12" s="14">
        <v>6</v>
      </c>
      <c r="L12" s="14">
        <v>20</v>
      </c>
      <c r="M12" s="14">
        <v>6</v>
      </c>
      <c r="N12" s="14">
        <v>13</v>
      </c>
      <c r="O12" s="14">
        <v>9</v>
      </c>
      <c r="P12" s="14">
        <v>53</v>
      </c>
      <c r="Q12" s="14">
        <v>11</v>
      </c>
      <c r="R12" s="14">
        <v>6</v>
      </c>
      <c r="S12" s="14">
        <v>30</v>
      </c>
      <c r="T12" s="14">
        <v>6</v>
      </c>
      <c r="U12" s="14">
        <v>106</v>
      </c>
      <c r="V12" s="14">
        <v>12</v>
      </c>
      <c r="W12" s="14">
        <v>2</v>
      </c>
      <c r="X12" s="14">
        <v>17</v>
      </c>
      <c r="Y12" s="14">
        <v>12</v>
      </c>
      <c r="Z12" s="14">
        <v>6</v>
      </c>
      <c r="AA12" s="14">
        <v>1</v>
      </c>
      <c r="AB12" s="14">
        <v>0</v>
      </c>
      <c r="AC12" s="14">
        <v>63</v>
      </c>
      <c r="AD12" s="14">
        <v>3</v>
      </c>
      <c r="AE12" s="14">
        <v>3</v>
      </c>
      <c r="AF12" s="14">
        <v>0</v>
      </c>
      <c r="AG12" s="14">
        <v>0</v>
      </c>
    </row>
    <row r="13" spans="1:33" x14ac:dyDescent="0.2">
      <c r="A13" s="10" t="s">
        <v>241</v>
      </c>
      <c r="B13" s="14">
        <v>9942</v>
      </c>
      <c r="C13" s="14">
        <v>532</v>
      </c>
      <c r="D13" s="14">
        <v>9410</v>
      </c>
      <c r="E13" s="14">
        <v>8901</v>
      </c>
      <c r="F13" s="14">
        <v>8656</v>
      </c>
      <c r="G13" s="14">
        <v>134</v>
      </c>
      <c r="H13" s="14">
        <v>8291</v>
      </c>
      <c r="I13" s="14">
        <v>257</v>
      </c>
      <c r="J13" s="14">
        <v>53</v>
      </c>
      <c r="K13" s="14">
        <v>16</v>
      </c>
      <c r="L13" s="14">
        <v>13</v>
      </c>
      <c r="M13" s="14">
        <v>2</v>
      </c>
      <c r="N13" s="14">
        <v>13</v>
      </c>
      <c r="O13" s="14">
        <v>9</v>
      </c>
      <c r="P13" s="14">
        <v>59</v>
      </c>
      <c r="Q13" s="14">
        <v>10</v>
      </c>
      <c r="R13" s="14">
        <v>8</v>
      </c>
      <c r="S13" s="14">
        <v>32</v>
      </c>
      <c r="T13" s="14">
        <v>9</v>
      </c>
      <c r="U13" s="14">
        <v>137</v>
      </c>
      <c r="V13" s="14">
        <v>13</v>
      </c>
      <c r="W13" s="14">
        <v>8</v>
      </c>
      <c r="X13" s="14">
        <v>21</v>
      </c>
      <c r="Y13" s="14">
        <v>25</v>
      </c>
      <c r="Z13" s="14">
        <v>13</v>
      </c>
      <c r="AA13" s="14">
        <v>2</v>
      </c>
      <c r="AB13" s="14">
        <v>3</v>
      </c>
      <c r="AC13" s="14">
        <v>70</v>
      </c>
      <c r="AD13" s="14">
        <v>3</v>
      </c>
      <c r="AE13" s="14">
        <v>3</v>
      </c>
      <c r="AF13" s="14">
        <v>0</v>
      </c>
      <c r="AG13" s="14">
        <v>0</v>
      </c>
    </row>
    <row r="14" spans="1:33" s="23" customFormat="1" ht="15.75" x14ac:dyDescent="0.25">
      <c r="A14" s="21" t="s">
        <v>120</v>
      </c>
      <c r="B14" s="22">
        <v>11549</v>
      </c>
      <c r="C14" s="22">
        <v>1705</v>
      </c>
      <c r="D14" s="22">
        <v>9844</v>
      </c>
      <c r="E14" s="22">
        <v>1491</v>
      </c>
      <c r="F14" s="22">
        <v>958</v>
      </c>
      <c r="G14" s="22">
        <v>170</v>
      </c>
      <c r="H14" s="22">
        <v>345</v>
      </c>
      <c r="I14" s="22">
        <v>7840</v>
      </c>
      <c r="J14" s="22">
        <v>122</v>
      </c>
      <c r="K14" s="22">
        <v>42</v>
      </c>
      <c r="L14" s="22">
        <v>23</v>
      </c>
      <c r="M14" s="22">
        <v>5</v>
      </c>
      <c r="N14" s="22">
        <v>32</v>
      </c>
      <c r="O14" s="22">
        <v>20</v>
      </c>
      <c r="P14" s="22">
        <v>120</v>
      </c>
      <c r="Q14" s="22">
        <v>47</v>
      </c>
      <c r="R14" s="22">
        <v>7</v>
      </c>
      <c r="S14" s="22">
        <v>63</v>
      </c>
      <c r="T14" s="22">
        <v>3</v>
      </c>
      <c r="U14" s="22">
        <v>253</v>
      </c>
      <c r="V14" s="22">
        <v>69</v>
      </c>
      <c r="W14" s="22">
        <v>51</v>
      </c>
      <c r="X14" s="22">
        <v>33</v>
      </c>
      <c r="Y14" s="22">
        <v>47</v>
      </c>
      <c r="Z14" s="22">
        <v>13</v>
      </c>
      <c r="AA14" s="22">
        <v>20</v>
      </c>
      <c r="AB14" s="22">
        <v>4</v>
      </c>
      <c r="AC14" s="22">
        <v>52</v>
      </c>
      <c r="AD14" s="22">
        <v>18</v>
      </c>
      <c r="AE14" s="22">
        <v>18</v>
      </c>
      <c r="AF14" s="22">
        <v>0</v>
      </c>
      <c r="AG14" s="22">
        <v>0</v>
      </c>
    </row>
    <row r="15" spans="1:33" s="23" customFormat="1" ht="15.75" x14ac:dyDescent="0.25">
      <c r="A15" s="21" t="s">
        <v>123</v>
      </c>
      <c r="B15" s="22">
        <v>45000</v>
      </c>
      <c r="C15" s="22">
        <v>6735</v>
      </c>
      <c r="D15" s="22">
        <v>38263</v>
      </c>
      <c r="E15" s="22">
        <v>1951</v>
      </c>
      <c r="F15" s="22">
        <v>691</v>
      </c>
      <c r="G15" s="22">
        <v>229</v>
      </c>
      <c r="H15" s="22">
        <v>136</v>
      </c>
      <c r="I15" s="22">
        <v>166</v>
      </c>
      <c r="J15" s="22">
        <v>34884</v>
      </c>
      <c r="K15" s="22">
        <v>3566</v>
      </c>
      <c r="L15" s="22">
        <v>20201</v>
      </c>
      <c r="M15" s="22">
        <v>1243</v>
      </c>
      <c r="N15" s="22">
        <v>8570</v>
      </c>
      <c r="O15" s="22">
        <v>1293</v>
      </c>
      <c r="P15" s="22">
        <v>418</v>
      </c>
      <c r="Q15" s="22">
        <v>132</v>
      </c>
      <c r="R15" s="22">
        <v>15</v>
      </c>
      <c r="S15" s="22">
        <v>82</v>
      </c>
      <c r="T15" s="22">
        <v>189</v>
      </c>
      <c r="U15" s="22">
        <v>796</v>
      </c>
      <c r="V15" s="22">
        <v>447</v>
      </c>
      <c r="W15" s="22">
        <v>15</v>
      </c>
      <c r="X15" s="22">
        <v>48</v>
      </c>
      <c r="Y15" s="22">
        <v>178</v>
      </c>
      <c r="Z15" s="22">
        <v>83</v>
      </c>
      <c r="AA15" s="22">
        <v>53</v>
      </c>
      <c r="AB15" s="22">
        <v>13</v>
      </c>
      <c r="AC15" s="22">
        <v>106</v>
      </c>
      <c r="AD15" s="22">
        <v>48</v>
      </c>
      <c r="AE15" s="22">
        <v>47</v>
      </c>
      <c r="AF15" s="22">
        <v>1</v>
      </c>
      <c r="AG15" s="22">
        <v>2</v>
      </c>
    </row>
    <row r="16" spans="1:33" x14ac:dyDescent="0.2">
      <c r="A16" s="10" t="s">
        <v>125</v>
      </c>
      <c r="B16" s="14">
        <v>5255</v>
      </c>
      <c r="C16" s="14">
        <v>901</v>
      </c>
      <c r="D16" s="14">
        <v>4352</v>
      </c>
      <c r="E16" s="14">
        <v>423</v>
      </c>
      <c r="F16" s="14">
        <v>232</v>
      </c>
      <c r="G16" s="14">
        <v>82</v>
      </c>
      <c r="H16" s="14">
        <v>43</v>
      </c>
      <c r="I16" s="14">
        <v>49</v>
      </c>
      <c r="J16" s="14">
        <v>3533</v>
      </c>
      <c r="K16" s="14">
        <v>3434</v>
      </c>
      <c r="L16" s="14">
        <v>16</v>
      </c>
      <c r="M16" s="14">
        <v>8</v>
      </c>
      <c r="N16" s="14">
        <v>72</v>
      </c>
      <c r="O16" s="14">
        <v>3</v>
      </c>
      <c r="P16" s="14">
        <v>34</v>
      </c>
      <c r="Q16" s="14">
        <v>14</v>
      </c>
      <c r="R16" s="14">
        <v>1</v>
      </c>
      <c r="S16" s="14">
        <v>15</v>
      </c>
      <c r="T16" s="14">
        <v>4</v>
      </c>
      <c r="U16" s="14">
        <v>309</v>
      </c>
      <c r="V16" s="14">
        <v>230</v>
      </c>
      <c r="W16" s="14">
        <v>5</v>
      </c>
      <c r="X16" s="14">
        <v>9</v>
      </c>
      <c r="Y16" s="14">
        <v>39</v>
      </c>
      <c r="Z16" s="14">
        <v>7</v>
      </c>
      <c r="AA16" s="14">
        <v>23</v>
      </c>
      <c r="AB16" s="14">
        <v>2</v>
      </c>
      <c r="AC16" s="14">
        <v>26</v>
      </c>
      <c r="AD16" s="14">
        <v>4</v>
      </c>
      <c r="AE16" s="14">
        <v>4</v>
      </c>
      <c r="AF16" s="14">
        <v>0</v>
      </c>
      <c r="AG16" s="14">
        <v>2</v>
      </c>
    </row>
    <row r="17" spans="1:33" x14ac:dyDescent="0.2">
      <c r="A17" s="10" t="s">
        <v>128</v>
      </c>
      <c r="B17" s="14">
        <v>24339</v>
      </c>
      <c r="C17" s="14">
        <v>2533</v>
      </c>
      <c r="D17" s="14">
        <v>21806</v>
      </c>
      <c r="E17" s="14">
        <v>792</v>
      </c>
      <c r="F17" s="14">
        <v>223</v>
      </c>
      <c r="G17" s="14">
        <v>59</v>
      </c>
      <c r="H17" s="14">
        <v>54</v>
      </c>
      <c r="I17" s="14">
        <v>41</v>
      </c>
      <c r="J17" s="14">
        <v>20662</v>
      </c>
      <c r="K17" s="14">
        <v>23</v>
      </c>
      <c r="L17" s="14">
        <v>20019</v>
      </c>
      <c r="M17" s="14">
        <v>178</v>
      </c>
      <c r="N17" s="14">
        <v>383</v>
      </c>
      <c r="O17" s="14">
        <v>59</v>
      </c>
      <c r="P17" s="14">
        <v>204</v>
      </c>
      <c r="Q17" s="14">
        <v>33</v>
      </c>
      <c r="R17" s="14">
        <v>6</v>
      </c>
      <c r="S17" s="14">
        <v>26</v>
      </c>
      <c r="T17" s="14">
        <v>139</v>
      </c>
      <c r="U17" s="14">
        <v>98</v>
      </c>
      <c r="V17" s="14">
        <v>24</v>
      </c>
      <c r="W17" s="14">
        <v>4</v>
      </c>
      <c r="X17" s="14">
        <v>9</v>
      </c>
      <c r="Y17" s="14">
        <v>31</v>
      </c>
      <c r="Z17" s="14">
        <v>14</v>
      </c>
      <c r="AA17" s="14">
        <v>3</v>
      </c>
      <c r="AB17" s="14">
        <v>4</v>
      </c>
      <c r="AC17" s="14">
        <v>29</v>
      </c>
      <c r="AD17" s="14">
        <v>9</v>
      </c>
      <c r="AE17" s="14">
        <v>9</v>
      </c>
      <c r="AF17" s="14">
        <v>0</v>
      </c>
      <c r="AG17" s="14">
        <v>0</v>
      </c>
    </row>
    <row r="18" spans="1:33" x14ac:dyDescent="0.2">
      <c r="A18" s="10" t="s">
        <v>131</v>
      </c>
      <c r="B18" s="14">
        <v>1733</v>
      </c>
      <c r="C18" s="14">
        <v>309</v>
      </c>
      <c r="D18" s="14">
        <v>1424</v>
      </c>
      <c r="E18" s="14">
        <v>159</v>
      </c>
      <c r="F18" s="14">
        <v>32</v>
      </c>
      <c r="G18" s="14">
        <v>13</v>
      </c>
      <c r="H18" s="14">
        <v>9</v>
      </c>
      <c r="I18" s="14">
        <v>6</v>
      </c>
      <c r="J18" s="14">
        <v>1214</v>
      </c>
      <c r="K18" s="14">
        <v>9</v>
      </c>
      <c r="L18" s="14">
        <v>89</v>
      </c>
      <c r="M18" s="14">
        <v>1021</v>
      </c>
      <c r="N18" s="14">
        <v>80</v>
      </c>
      <c r="O18" s="14">
        <v>15</v>
      </c>
      <c r="P18" s="14">
        <v>34</v>
      </c>
      <c r="Q18" s="14">
        <v>5</v>
      </c>
      <c r="R18" s="14">
        <v>2</v>
      </c>
      <c r="S18" s="14">
        <v>9</v>
      </c>
      <c r="T18" s="14">
        <v>18</v>
      </c>
      <c r="U18" s="14">
        <v>10</v>
      </c>
      <c r="V18" s="14">
        <v>3</v>
      </c>
      <c r="W18" s="14">
        <v>0</v>
      </c>
      <c r="X18" s="14">
        <v>2</v>
      </c>
      <c r="Y18" s="14">
        <v>1</v>
      </c>
      <c r="Z18" s="14">
        <v>0</v>
      </c>
      <c r="AA18" s="14">
        <v>0</v>
      </c>
      <c r="AB18" s="14">
        <v>0</v>
      </c>
      <c r="AC18" s="14">
        <v>4</v>
      </c>
      <c r="AD18" s="14">
        <v>1</v>
      </c>
      <c r="AE18" s="14">
        <v>1</v>
      </c>
      <c r="AF18" s="14">
        <v>0</v>
      </c>
      <c r="AG18" s="14">
        <v>0</v>
      </c>
    </row>
    <row r="19" spans="1:33" x14ac:dyDescent="0.2">
      <c r="A19" s="10" t="s">
        <v>133</v>
      </c>
      <c r="B19" s="14">
        <v>10649</v>
      </c>
      <c r="C19" s="14">
        <v>1551</v>
      </c>
      <c r="D19" s="14">
        <v>9098</v>
      </c>
      <c r="E19" s="14">
        <v>403</v>
      </c>
      <c r="F19" s="14">
        <v>128</v>
      </c>
      <c r="G19" s="14">
        <v>50</v>
      </c>
      <c r="H19" s="14">
        <v>18</v>
      </c>
      <c r="I19" s="14">
        <v>37</v>
      </c>
      <c r="J19" s="14">
        <v>8255</v>
      </c>
      <c r="K19" s="14">
        <v>99</v>
      </c>
      <c r="L19" s="14">
        <v>65</v>
      </c>
      <c r="M19" s="14">
        <v>33</v>
      </c>
      <c r="N19" s="14">
        <v>7968</v>
      </c>
      <c r="O19" s="14">
        <v>90</v>
      </c>
      <c r="P19" s="14">
        <v>79</v>
      </c>
      <c r="Q19" s="14">
        <v>35</v>
      </c>
      <c r="R19" s="14">
        <v>3</v>
      </c>
      <c r="S19" s="14">
        <v>16</v>
      </c>
      <c r="T19" s="14">
        <v>25</v>
      </c>
      <c r="U19" s="14">
        <v>314</v>
      </c>
      <c r="V19" s="14">
        <v>178</v>
      </c>
      <c r="W19" s="14">
        <v>3</v>
      </c>
      <c r="X19" s="14">
        <v>8</v>
      </c>
      <c r="Y19" s="14">
        <v>92</v>
      </c>
      <c r="Z19" s="14">
        <v>54</v>
      </c>
      <c r="AA19" s="14">
        <v>21</v>
      </c>
      <c r="AB19" s="14">
        <v>7</v>
      </c>
      <c r="AC19" s="14">
        <v>32</v>
      </c>
      <c r="AD19" s="14">
        <v>10</v>
      </c>
      <c r="AE19" s="14">
        <v>9</v>
      </c>
      <c r="AF19" s="14">
        <v>1</v>
      </c>
      <c r="AG19" s="14">
        <v>0</v>
      </c>
    </row>
    <row r="20" spans="1:33" x14ac:dyDescent="0.2">
      <c r="A20" s="10" t="s">
        <v>136</v>
      </c>
      <c r="B20" s="14">
        <v>3007</v>
      </c>
      <c r="C20" s="14">
        <v>1440</v>
      </c>
      <c r="D20" s="14">
        <v>1567</v>
      </c>
      <c r="E20" s="14">
        <v>171</v>
      </c>
      <c r="F20" s="14">
        <v>75</v>
      </c>
      <c r="G20" s="14">
        <v>24</v>
      </c>
      <c r="H20" s="14">
        <v>12</v>
      </c>
      <c r="I20" s="14">
        <v>33</v>
      </c>
      <c r="J20" s="14">
        <v>1207</v>
      </c>
      <c r="K20" s="14">
        <v>1</v>
      </c>
      <c r="L20" s="14">
        <v>11</v>
      </c>
      <c r="M20" s="14">
        <v>3</v>
      </c>
      <c r="N20" s="14">
        <v>67</v>
      </c>
      <c r="O20" s="14">
        <v>1125</v>
      </c>
      <c r="P20" s="14">
        <v>67</v>
      </c>
      <c r="Q20" s="14">
        <v>45</v>
      </c>
      <c r="R20" s="14">
        <v>3</v>
      </c>
      <c r="S20" s="14">
        <v>16</v>
      </c>
      <c r="T20" s="14">
        <v>3</v>
      </c>
      <c r="U20" s="14">
        <v>65</v>
      </c>
      <c r="V20" s="14">
        <v>12</v>
      </c>
      <c r="W20" s="14">
        <v>3</v>
      </c>
      <c r="X20" s="14">
        <v>20</v>
      </c>
      <c r="Y20" s="14">
        <v>15</v>
      </c>
      <c r="Z20" s="14">
        <v>8</v>
      </c>
      <c r="AA20" s="14">
        <v>6</v>
      </c>
      <c r="AB20" s="14">
        <v>0</v>
      </c>
      <c r="AC20" s="14">
        <v>15</v>
      </c>
      <c r="AD20" s="14">
        <v>24</v>
      </c>
      <c r="AE20" s="14">
        <v>24</v>
      </c>
      <c r="AF20" s="14">
        <v>0</v>
      </c>
      <c r="AG20" s="14">
        <v>0</v>
      </c>
    </row>
    <row r="21" spans="1:33" s="23" customFormat="1" ht="15.75" x14ac:dyDescent="0.25">
      <c r="A21" s="21" t="s">
        <v>139</v>
      </c>
      <c r="B21" s="22">
        <v>9957</v>
      </c>
      <c r="C21" s="22">
        <v>3729</v>
      </c>
      <c r="D21" s="22">
        <v>6228</v>
      </c>
      <c r="E21" s="22">
        <v>1002</v>
      </c>
      <c r="F21" s="22">
        <v>309</v>
      </c>
      <c r="G21" s="22">
        <v>109</v>
      </c>
      <c r="H21" s="22">
        <v>64</v>
      </c>
      <c r="I21" s="22">
        <v>125</v>
      </c>
      <c r="J21" s="22">
        <v>264</v>
      </c>
      <c r="K21" s="22">
        <v>17</v>
      </c>
      <c r="L21" s="22">
        <v>104</v>
      </c>
      <c r="M21" s="22">
        <v>19</v>
      </c>
      <c r="N21" s="22">
        <v>91</v>
      </c>
      <c r="O21" s="22">
        <v>33</v>
      </c>
      <c r="P21" s="22">
        <v>4476</v>
      </c>
      <c r="Q21" s="22">
        <v>1021</v>
      </c>
      <c r="R21" s="22">
        <v>226</v>
      </c>
      <c r="S21" s="22">
        <v>2324</v>
      </c>
      <c r="T21" s="22">
        <v>905</v>
      </c>
      <c r="U21" s="22">
        <v>315</v>
      </c>
      <c r="V21" s="22">
        <v>82</v>
      </c>
      <c r="W21" s="22">
        <v>9</v>
      </c>
      <c r="X21" s="22">
        <v>106</v>
      </c>
      <c r="Y21" s="22">
        <v>44</v>
      </c>
      <c r="Z21" s="22">
        <v>18</v>
      </c>
      <c r="AA21" s="22">
        <v>17</v>
      </c>
      <c r="AB21" s="22">
        <v>3</v>
      </c>
      <c r="AC21" s="22">
        <v>71</v>
      </c>
      <c r="AD21" s="22">
        <v>46</v>
      </c>
      <c r="AE21" s="22">
        <v>38</v>
      </c>
      <c r="AF21" s="22">
        <v>8</v>
      </c>
      <c r="AG21" s="22">
        <v>0</v>
      </c>
    </row>
    <row r="22" spans="1:33" x14ac:dyDescent="0.2">
      <c r="A22" s="10" t="s">
        <v>141</v>
      </c>
      <c r="B22" s="14">
        <v>3417</v>
      </c>
      <c r="C22" s="14">
        <v>1641</v>
      </c>
      <c r="D22" s="14">
        <v>1776</v>
      </c>
      <c r="E22" s="14">
        <v>343</v>
      </c>
      <c r="F22" s="14">
        <v>77</v>
      </c>
      <c r="G22" s="14">
        <v>24</v>
      </c>
      <c r="H22" s="14">
        <v>12</v>
      </c>
      <c r="I22" s="14">
        <v>53</v>
      </c>
      <c r="J22" s="14">
        <v>84</v>
      </c>
      <c r="K22" s="14">
        <v>9</v>
      </c>
      <c r="L22" s="14">
        <v>23</v>
      </c>
      <c r="M22" s="14">
        <v>2</v>
      </c>
      <c r="N22" s="14">
        <v>36</v>
      </c>
      <c r="O22" s="14">
        <v>14</v>
      </c>
      <c r="P22" s="14">
        <v>1032</v>
      </c>
      <c r="Q22" s="14">
        <v>964</v>
      </c>
      <c r="R22" s="14">
        <v>17</v>
      </c>
      <c r="S22" s="14">
        <v>32</v>
      </c>
      <c r="T22" s="14">
        <v>19</v>
      </c>
      <c r="U22" s="14">
        <v>230</v>
      </c>
      <c r="V22" s="14">
        <v>69</v>
      </c>
      <c r="W22" s="14">
        <v>7</v>
      </c>
      <c r="X22" s="14">
        <v>77</v>
      </c>
      <c r="Y22" s="14">
        <v>31</v>
      </c>
      <c r="Z22" s="14">
        <v>13</v>
      </c>
      <c r="AA22" s="14">
        <v>15</v>
      </c>
      <c r="AB22" s="14">
        <v>0</v>
      </c>
      <c r="AC22" s="14">
        <v>43</v>
      </c>
      <c r="AD22" s="14">
        <v>34</v>
      </c>
      <c r="AE22" s="14">
        <v>29</v>
      </c>
      <c r="AF22" s="14">
        <v>5</v>
      </c>
      <c r="AG22" s="14">
        <v>0</v>
      </c>
    </row>
    <row r="23" spans="1:33" x14ac:dyDescent="0.2">
      <c r="A23" s="10" t="s">
        <v>144</v>
      </c>
      <c r="B23" s="14">
        <v>405</v>
      </c>
      <c r="C23" s="14">
        <v>115</v>
      </c>
      <c r="D23" s="14">
        <v>290</v>
      </c>
      <c r="E23" s="14">
        <v>54</v>
      </c>
      <c r="F23" s="14">
        <v>20</v>
      </c>
      <c r="G23" s="14">
        <v>6</v>
      </c>
      <c r="H23" s="14">
        <v>6</v>
      </c>
      <c r="I23" s="14">
        <v>14</v>
      </c>
      <c r="J23" s="14">
        <v>6</v>
      </c>
      <c r="K23" s="14">
        <v>1</v>
      </c>
      <c r="L23" s="14">
        <v>3</v>
      </c>
      <c r="M23" s="14">
        <v>1</v>
      </c>
      <c r="N23" s="14">
        <v>0</v>
      </c>
      <c r="O23" s="14">
        <v>1</v>
      </c>
      <c r="P23" s="14">
        <v>205</v>
      </c>
      <c r="Q23" s="14">
        <v>11</v>
      </c>
      <c r="R23" s="14">
        <v>175</v>
      </c>
      <c r="S23" s="14">
        <v>14</v>
      </c>
      <c r="T23" s="14">
        <v>5</v>
      </c>
      <c r="U23" s="14">
        <v>10</v>
      </c>
      <c r="V23" s="14">
        <v>0</v>
      </c>
      <c r="W23" s="14">
        <v>0</v>
      </c>
      <c r="X23" s="14">
        <v>7</v>
      </c>
      <c r="Y23" s="14">
        <v>1</v>
      </c>
      <c r="Z23" s="14">
        <v>1</v>
      </c>
      <c r="AA23" s="14">
        <v>0</v>
      </c>
      <c r="AB23" s="14">
        <v>0</v>
      </c>
      <c r="AC23" s="14">
        <v>2</v>
      </c>
      <c r="AD23" s="14">
        <v>1</v>
      </c>
      <c r="AE23" s="14">
        <v>1</v>
      </c>
      <c r="AF23" s="14">
        <v>0</v>
      </c>
      <c r="AG23" s="14">
        <v>0</v>
      </c>
    </row>
    <row r="24" spans="1:33" x14ac:dyDescent="0.2">
      <c r="A24" s="10" t="s">
        <v>147</v>
      </c>
      <c r="B24" s="14">
        <v>3521</v>
      </c>
      <c r="C24" s="14">
        <v>607</v>
      </c>
      <c r="D24" s="14">
        <v>2914</v>
      </c>
      <c r="E24" s="14">
        <v>440</v>
      </c>
      <c r="F24" s="14">
        <v>150</v>
      </c>
      <c r="G24" s="14">
        <v>55</v>
      </c>
      <c r="H24" s="14">
        <v>32</v>
      </c>
      <c r="I24" s="14">
        <v>43</v>
      </c>
      <c r="J24" s="14">
        <v>47</v>
      </c>
      <c r="K24" s="14">
        <v>1</v>
      </c>
      <c r="L24" s="14">
        <v>14</v>
      </c>
      <c r="M24" s="14">
        <v>8</v>
      </c>
      <c r="N24" s="14">
        <v>15</v>
      </c>
      <c r="O24" s="14">
        <v>9</v>
      </c>
      <c r="P24" s="14">
        <v>2320</v>
      </c>
      <c r="Q24" s="14">
        <v>27</v>
      </c>
      <c r="R24" s="14">
        <v>30</v>
      </c>
      <c r="S24" s="14">
        <v>2238</v>
      </c>
      <c r="T24" s="14">
        <v>25</v>
      </c>
      <c r="U24" s="14">
        <v>59</v>
      </c>
      <c r="V24" s="14">
        <v>12</v>
      </c>
      <c r="W24" s="14">
        <v>2</v>
      </c>
      <c r="X24" s="14">
        <v>19</v>
      </c>
      <c r="Y24" s="14">
        <v>6</v>
      </c>
      <c r="Z24" s="14">
        <v>2</v>
      </c>
      <c r="AA24" s="14">
        <v>1</v>
      </c>
      <c r="AB24" s="14">
        <v>1</v>
      </c>
      <c r="AC24" s="14">
        <v>20</v>
      </c>
      <c r="AD24" s="14">
        <v>5</v>
      </c>
      <c r="AE24" s="14">
        <v>5</v>
      </c>
      <c r="AF24" s="14">
        <v>0</v>
      </c>
      <c r="AG24" s="14">
        <v>0</v>
      </c>
    </row>
    <row r="25" spans="1:33" x14ac:dyDescent="0.2">
      <c r="A25" s="10" t="s">
        <v>150</v>
      </c>
      <c r="B25" s="14">
        <v>2614</v>
      </c>
      <c r="C25" s="14">
        <v>1366</v>
      </c>
      <c r="D25" s="14">
        <v>1248</v>
      </c>
      <c r="E25" s="14">
        <v>165</v>
      </c>
      <c r="F25" s="14">
        <v>62</v>
      </c>
      <c r="G25" s="14">
        <v>24</v>
      </c>
      <c r="H25" s="14">
        <v>14</v>
      </c>
      <c r="I25" s="14">
        <v>15</v>
      </c>
      <c r="J25" s="14">
        <v>127</v>
      </c>
      <c r="K25" s="14">
        <v>6</v>
      </c>
      <c r="L25" s="14">
        <v>64</v>
      </c>
      <c r="M25" s="14">
        <v>8</v>
      </c>
      <c r="N25" s="14">
        <v>40</v>
      </c>
      <c r="O25" s="14">
        <v>9</v>
      </c>
      <c r="P25" s="14">
        <v>919</v>
      </c>
      <c r="Q25" s="14">
        <v>19</v>
      </c>
      <c r="R25" s="14">
        <v>4</v>
      </c>
      <c r="S25" s="14">
        <v>40</v>
      </c>
      <c r="T25" s="14">
        <v>856</v>
      </c>
      <c r="U25" s="14">
        <v>16</v>
      </c>
      <c r="V25" s="14">
        <v>1</v>
      </c>
      <c r="W25" s="14">
        <v>0</v>
      </c>
      <c r="X25" s="14">
        <v>3</v>
      </c>
      <c r="Y25" s="14">
        <v>6</v>
      </c>
      <c r="Z25" s="14">
        <v>2</v>
      </c>
      <c r="AA25" s="14">
        <v>1</v>
      </c>
      <c r="AB25" s="14">
        <v>2</v>
      </c>
      <c r="AC25" s="14">
        <v>6</v>
      </c>
      <c r="AD25" s="14">
        <v>6</v>
      </c>
      <c r="AE25" s="14">
        <v>3</v>
      </c>
      <c r="AF25" s="14">
        <v>3</v>
      </c>
      <c r="AG25" s="14">
        <v>0</v>
      </c>
    </row>
    <row r="26" spans="1:33" s="23" customFormat="1" ht="15.75" x14ac:dyDescent="0.25">
      <c r="A26" s="21" t="s">
        <v>153</v>
      </c>
      <c r="B26" s="22">
        <v>88815</v>
      </c>
      <c r="C26" s="22">
        <v>10735</v>
      </c>
      <c r="D26" s="22">
        <v>78077</v>
      </c>
      <c r="E26" s="22">
        <v>2057</v>
      </c>
      <c r="F26" s="22">
        <v>988</v>
      </c>
      <c r="G26" s="22">
        <v>310</v>
      </c>
      <c r="H26" s="22">
        <v>221</v>
      </c>
      <c r="I26" s="22">
        <v>351</v>
      </c>
      <c r="J26" s="22">
        <v>819</v>
      </c>
      <c r="K26" s="22">
        <v>540</v>
      </c>
      <c r="L26" s="22">
        <v>22</v>
      </c>
      <c r="M26" s="22">
        <v>6</v>
      </c>
      <c r="N26" s="22">
        <v>200</v>
      </c>
      <c r="O26" s="22">
        <v>51</v>
      </c>
      <c r="P26" s="22">
        <v>286</v>
      </c>
      <c r="Q26" s="22">
        <v>189</v>
      </c>
      <c r="R26" s="22">
        <v>7</v>
      </c>
      <c r="S26" s="22">
        <v>74</v>
      </c>
      <c r="T26" s="22">
        <v>16</v>
      </c>
      <c r="U26" s="22">
        <v>74503</v>
      </c>
      <c r="V26" s="22">
        <v>9650</v>
      </c>
      <c r="W26" s="22">
        <v>247</v>
      </c>
      <c r="X26" s="22">
        <v>2055</v>
      </c>
      <c r="Y26" s="22">
        <v>59167</v>
      </c>
      <c r="Z26" s="22">
        <v>25899</v>
      </c>
      <c r="AA26" s="22">
        <v>16009</v>
      </c>
      <c r="AB26" s="22">
        <v>8741</v>
      </c>
      <c r="AC26" s="22">
        <v>3366</v>
      </c>
      <c r="AD26" s="22">
        <v>61</v>
      </c>
      <c r="AE26" s="22">
        <v>60</v>
      </c>
      <c r="AF26" s="22">
        <v>1</v>
      </c>
      <c r="AG26" s="22">
        <v>3</v>
      </c>
    </row>
    <row r="27" spans="1:33" x14ac:dyDescent="0.2">
      <c r="A27" s="10" t="s">
        <v>155</v>
      </c>
      <c r="B27" s="14">
        <v>12699</v>
      </c>
      <c r="C27" s="14">
        <v>1753</v>
      </c>
      <c r="D27" s="14">
        <v>10945</v>
      </c>
      <c r="E27" s="14">
        <v>559</v>
      </c>
      <c r="F27" s="14">
        <v>318</v>
      </c>
      <c r="G27" s="14">
        <v>105</v>
      </c>
      <c r="H27" s="14">
        <v>67</v>
      </c>
      <c r="I27" s="14">
        <v>137</v>
      </c>
      <c r="J27" s="14">
        <v>485</v>
      </c>
      <c r="K27" s="14">
        <v>353</v>
      </c>
      <c r="L27" s="14">
        <v>10</v>
      </c>
      <c r="M27" s="14">
        <v>3</v>
      </c>
      <c r="N27" s="14">
        <v>99</v>
      </c>
      <c r="O27" s="14">
        <v>20</v>
      </c>
      <c r="P27" s="14">
        <v>98</v>
      </c>
      <c r="Q27" s="14">
        <v>63</v>
      </c>
      <c r="R27" s="14">
        <v>2</v>
      </c>
      <c r="S27" s="14">
        <v>28</v>
      </c>
      <c r="T27" s="14">
        <v>5</v>
      </c>
      <c r="U27" s="14">
        <v>9652</v>
      </c>
      <c r="V27" s="14">
        <v>9046</v>
      </c>
      <c r="W27" s="14">
        <v>12</v>
      </c>
      <c r="X27" s="14">
        <v>22</v>
      </c>
      <c r="Y27" s="14">
        <v>517</v>
      </c>
      <c r="Z27" s="14">
        <v>226</v>
      </c>
      <c r="AA27" s="14">
        <v>198</v>
      </c>
      <c r="AB27" s="14">
        <v>24</v>
      </c>
      <c r="AC27" s="14">
        <v>55</v>
      </c>
      <c r="AD27" s="14">
        <v>14</v>
      </c>
      <c r="AE27" s="14">
        <v>14</v>
      </c>
      <c r="AF27" s="14">
        <v>0</v>
      </c>
      <c r="AG27" s="14">
        <v>1</v>
      </c>
    </row>
    <row r="28" spans="1:33" x14ac:dyDescent="0.2">
      <c r="A28" s="10" t="s">
        <v>158</v>
      </c>
      <c r="B28" s="14">
        <v>313</v>
      </c>
      <c r="C28" s="14">
        <v>22</v>
      </c>
      <c r="D28" s="14">
        <v>291</v>
      </c>
      <c r="E28" s="14">
        <v>20</v>
      </c>
      <c r="F28" s="14">
        <v>12</v>
      </c>
      <c r="G28" s="14">
        <v>2</v>
      </c>
      <c r="H28" s="14">
        <v>0</v>
      </c>
      <c r="I28" s="14">
        <v>39</v>
      </c>
      <c r="J28" s="14">
        <v>3</v>
      </c>
      <c r="K28" s="14">
        <v>2</v>
      </c>
      <c r="L28" s="14">
        <v>0</v>
      </c>
      <c r="M28" s="14">
        <v>0</v>
      </c>
      <c r="N28" s="14">
        <v>1</v>
      </c>
      <c r="O28" s="14">
        <v>0</v>
      </c>
      <c r="P28" s="14">
        <v>4</v>
      </c>
      <c r="Q28" s="14">
        <v>2</v>
      </c>
      <c r="R28" s="14">
        <v>0</v>
      </c>
      <c r="S28" s="14">
        <v>2</v>
      </c>
      <c r="T28" s="14">
        <v>0</v>
      </c>
      <c r="U28" s="14">
        <v>225</v>
      </c>
      <c r="V28" s="14">
        <v>3</v>
      </c>
      <c r="W28" s="14">
        <v>219</v>
      </c>
      <c r="X28" s="14">
        <v>1</v>
      </c>
      <c r="Y28" s="14">
        <v>1</v>
      </c>
      <c r="Z28" s="14">
        <v>0</v>
      </c>
      <c r="AA28" s="14">
        <v>0</v>
      </c>
      <c r="AB28" s="14">
        <v>1</v>
      </c>
      <c r="AC28" s="14">
        <v>1</v>
      </c>
      <c r="AD28" s="14">
        <v>0</v>
      </c>
      <c r="AE28" s="14">
        <v>0</v>
      </c>
      <c r="AF28" s="14">
        <v>0</v>
      </c>
      <c r="AG28" s="14">
        <v>0</v>
      </c>
    </row>
    <row r="29" spans="1:33" x14ac:dyDescent="0.2">
      <c r="A29" s="10" t="s">
        <v>160</v>
      </c>
      <c r="B29" s="14">
        <v>2728</v>
      </c>
      <c r="C29" s="14">
        <v>490</v>
      </c>
      <c r="D29" s="14">
        <v>2238</v>
      </c>
      <c r="E29" s="14">
        <v>90</v>
      </c>
      <c r="F29" s="14">
        <v>39</v>
      </c>
      <c r="G29" s="14">
        <v>13</v>
      </c>
      <c r="H29" s="14">
        <v>10</v>
      </c>
      <c r="I29" s="14">
        <v>21</v>
      </c>
      <c r="J29" s="14">
        <v>10</v>
      </c>
      <c r="K29" s="14">
        <v>1</v>
      </c>
      <c r="L29" s="14">
        <v>0</v>
      </c>
      <c r="M29" s="14">
        <v>0</v>
      </c>
      <c r="N29" s="14">
        <v>4</v>
      </c>
      <c r="O29" s="14">
        <v>5</v>
      </c>
      <c r="P29" s="14">
        <v>49</v>
      </c>
      <c r="Q29" s="14">
        <v>40</v>
      </c>
      <c r="R29" s="14">
        <v>0</v>
      </c>
      <c r="S29" s="14">
        <v>8</v>
      </c>
      <c r="T29" s="14">
        <v>1</v>
      </c>
      <c r="U29" s="14">
        <v>2053</v>
      </c>
      <c r="V29" s="14">
        <v>3</v>
      </c>
      <c r="W29" s="14">
        <v>0</v>
      </c>
      <c r="X29" s="14">
        <v>1791</v>
      </c>
      <c r="Y29" s="14">
        <v>187</v>
      </c>
      <c r="Z29" s="14">
        <v>17</v>
      </c>
      <c r="AA29" s="14">
        <v>54</v>
      </c>
      <c r="AB29" s="14">
        <v>3</v>
      </c>
      <c r="AC29" s="14">
        <v>71</v>
      </c>
      <c r="AD29" s="14">
        <v>15</v>
      </c>
      <c r="AE29" s="14">
        <v>15</v>
      </c>
      <c r="AF29" s="14">
        <v>0</v>
      </c>
      <c r="AG29" s="14">
        <v>0</v>
      </c>
    </row>
    <row r="30" spans="1:33" x14ac:dyDescent="0.2">
      <c r="A30" s="10" t="s">
        <v>163</v>
      </c>
      <c r="B30" s="14">
        <v>69107</v>
      </c>
      <c r="C30" s="14">
        <v>7992</v>
      </c>
      <c r="D30" s="14">
        <v>61113</v>
      </c>
      <c r="E30" s="14">
        <v>1273</v>
      </c>
      <c r="F30" s="14">
        <v>567</v>
      </c>
      <c r="G30" s="14">
        <v>168</v>
      </c>
      <c r="H30" s="14">
        <v>136</v>
      </c>
      <c r="I30" s="14">
        <v>135</v>
      </c>
      <c r="J30" s="14">
        <v>304</v>
      </c>
      <c r="K30" s="14">
        <v>181</v>
      </c>
      <c r="L30" s="14">
        <v>10</v>
      </c>
      <c r="M30" s="14">
        <v>3</v>
      </c>
      <c r="N30" s="14">
        <v>90</v>
      </c>
      <c r="O30" s="14">
        <v>20</v>
      </c>
      <c r="P30" s="14">
        <v>114</v>
      </c>
      <c r="Q30" s="14">
        <v>73</v>
      </c>
      <c r="R30" s="14">
        <v>5</v>
      </c>
      <c r="S30" s="14">
        <v>26</v>
      </c>
      <c r="T30" s="14">
        <v>10</v>
      </c>
      <c r="U30" s="14">
        <v>59265</v>
      </c>
      <c r="V30" s="14">
        <v>584</v>
      </c>
      <c r="W30" s="14">
        <v>16</v>
      </c>
      <c r="X30" s="14">
        <v>161</v>
      </c>
      <c r="Y30" s="14">
        <v>58355</v>
      </c>
      <c r="Z30" s="14">
        <v>25643</v>
      </c>
      <c r="AA30" s="14">
        <v>15750</v>
      </c>
      <c r="AB30" s="14">
        <v>8661</v>
      </c>
      <c r="AC30" s="14">
        <v>149</v>
      </c>
      <c r="AD30" s="14">
        <v>22</v>
      </c>
      <c r="AE30" s="14">
        <v>21</v>
      </c>
      <c r="AF30" s="14">
        <v>1</v>
      </c>
      <c r="AG30" s="14">
        <v>2</v>
      </c>
    </row>
    <row r="31" spans="1:33" x14ac:dyDescent="0.2">
      <c r="A31" s="10" t="s">
        <v>242</v>
      </c>
      <c r="B31" s="14">
        <v>27662</v>
      </c>
      <c r="C31" s="14">
        <v>1133</v>
      </c>
      <c r="D31" s="14">
        <v>26528</v>
      </c>
      <c r="E31" s="14">
        <v>356</v>
      </c>
      <c r="F31" s="14">
        <v>189</v>
      </c>
      <c r="G31" s="14">
        <v>71</v>
      </c>
      <c r="H31" s="14">
        <v>45</v>
      </c>
      <c r="I31" s="14">
        <v>45</v>
      </c>
      <c r="J31" s="14">
        <v>85</v>
      </c>
      <c r="K31" s="14">
        <v>31</v>
      </c>
      <c r="L31" s="14">
        <v>1</v>
      </c>
      <c r="M31" s="14">
        <v>2</v>
      </c>
      <c r="N31" s="14">
        <v>42</v>
      </c>
      <c r="O31" s="14">
        <v>9</v>
      </c>
      <c r="P31" s="14">
        <v>52</v>
      </c>
      <c r="Q31" s="14">
        <v>38</v>
      </c>
      <c r="R31" s="14">
        <v>4</v>
      </c>
      <c r="S31" s="14">
        <v>7</v>
      </c>
      <c r="T31" s="14">
        <v>3</v>
      </c>
      <c r="U31" s="14">
        <v>25977</v>
      </c>
      <c r="V31" s="14">
        <v>281</v>
      </c>
      <c r="W31" s="14">
        <v>6</v>
      </c>
      <c r="X31" s="14">
        <v>22</v>
      </c>
      <c r="Y31" s="14">
        <v>25611</v>
      </c>
      <c r="Z31" s="14">
        <v>25433</v>
      </c>
      <c r="AA31" s="14">
        <v>70</v>
      </c>
      <c r="AB31" s="14">
        <v>20</v>
      </c>
      <c r="AC31" s="14">
        <v>57</v>
      </c>
      <c r="AD31" s="14">
        <v>13</v>
      </c>
      <c r="AE31" s="14">
        <v>12</v>
      </c>
      <c r="AF31" s="14">
        <v>1</v>
      </c>
      <c r="AG31" s="14">
        <v>1</v>
      </c>
    </row>
    <row r="32" spans="1:33" x14ac:dyDescent="0.2">
      <c r="A32" s="10" t="s">
        <v>243</v>
      </c>
      <c r="B32" s="14">
        <v>21816</v>
      </c>
      <c r="C32" s="14">
        <v>5101</v>
      </c>
      <c r="D32" s="14">
        <v>16715</v>
      </c>
      <c r="E32" s="14">
        <v>586</v>
      </c>
      <c r="F32" s="14">
        <v>267</v>
      </c>
      <c r="G32" s="14">
        <v>61</v>
      </c>
      <c r="H32" s="14">
        <v>73</v>
      </c>
      <c r="I32" s="14">
        <v>40</v>
      </c>
      <c r="J32" s="14">
        <v>145</v>
      </c>
      <c r="K32" s="14">
        <v>101</v>
      </c>
      <c r="L32" s="14">
        <v>5</v>
      </c>
      <c r="M32" s="14">
        <v>1</v>
      </c>
      <c r="N32" s="14">
        <v>30</v>
      </c>
      <c r="O32" s="14">
        <v>8</v>
      </c>
      <c r="P32" s="14">
        <v>33</v>
      </c>
      <c r="Q32" s="14">
        <v>23</v>
      </c>
      <c r="R32" s="14">
        <v>1</v>
      </c>
      <c r="S32" s="14">
        <v>6</v>
      </c>
      <c r="T32" s="14">
        <v>3</v>
      </c>
      <c r="U32" s="14">
        <v>15908</v>
      </c>
      <c r="V32" s="14">
        <v>203</v>
      </c>
      <c r="W32" s="14">
        <v>5</v>
      </c>
      <c r="X32" s="14">
        <v>45</v>
      </c>
      <c r="Y32" s="14">
        <v>15624</v>
      </c>
      <c r="Z32" s="14">
        <v>73</v>
      </c>
      <c r="AA32" s="14">
        <v>15356</v>
      </c>
      <c r="AB32" s="14">
        <v>42</v>
      </c>
      <c r="AC32" s="14">
        <v>31</v>
      </c>
      <c r="AD32" s="14">
        <v>3</v>
      </c>
      <c r="AE32" s="14">
        <v>3</v>
      </c>
      <c r="AF32" s="14">
        <v>0</v>
      </c>
      <c r="AG32" s="14">
        <v>0</v>
      </c>
    </row>
    <row r="33" spans="1:33" x14ac:dyDescent="0.2">
      <c r="A33" s="10" t="s">
        <v>244</v>
      </c>
      <c r="B33" s="14">
        <v>10085</v>
      </c>
      <c r="C33" s="14">
        <v>1251</v>
      </c>
      <c r="D33" s="14">
        <v>8833</v>
      </c>
      <c r="E33" s="14">
        <v>116</v>
      </c>
      <c r="F33" s="14">
        <v>44</v>
      </c>
      <c r="G33" s="14">
        <v>11</v>
      </c>
      <c r="H33" s="14">
        <v>8</v>
      </c>
      <c r="I33" s="14">
        <v>10</v>
      </c>
      <c r="J33" s="14">
        <v>31</v>
      </c>
      <c r="K33" s="14">
        <v>24</v>
      </c>
      <c r="L33" s="14">
        <v>1</v>
      </c>
      <c r="M33" s="14">
        <v>0</v>
      </c>
      <c r="N33" s="14">
        <v>4</v>
      </c>
      <c r="O33" s="14">
        <v>2</v>
      </c>
      <c r="P33" s="14">
        <v>6</v>
      </c>
      <c r="Q33" s="14">
        <v>4</v>
      </c>
      <c r="R33" s="14">
        <v>0</v>
      </c>
      <c r="S33" s="14">
        <v>2</v>
      </c>
      <c r="T33" s="14">
        <v>0</v>
      </c>
      <c r="U33" s="14">
        <v>8670</v>
      </c>
      <c r="V33" s="14">
        <v>27</v>
      </c>
      <c r="W33" s="14">
        <v>0</v>
      </c>
      <c r="X33" s="14">
        <v>2</v>
      </c>
      <c r="Y33" s="14">
        <v>8630</v>
      </c>
      <c r="Z33" s="14">
        <v>12</v>
      </c>
      <c r="AA33" s="14">
        <v>16</v>
      </c>
      <c r="AB33" s="14">
        <v>8595</v>
      </c>
      <c r="AC33" s="14">
        <v>11</v>
      </c>
      <c r="AD33" s="14">
        <v>0</v>
      </c>
      <c r="AE33" s="14">
        <v>0</v>
      </c>
      <c r="AF33" s="14">
        <v>0</v>
      </c>
      <c r="AG33" s="14">
        <v>1</v>
      </c>
    </row>
    <row r="34" spans="1:33" x14ac:dyDescent="0.2">
      <c r="A34" s="10" t="s">
        <v>165</v>
      </c>
      <c r="B34" s="14">
        <v>3934</v>
      </c>
      <c r="C34" s="14">
        <v>466</v>
      </c>
      <c r="D34" s="14">
        <v>3468</v>
      </c>
      <c r="E34" s="14">
        <v>113</v>
      </c>
      <c r="F34" s="14">
        <v>50</v>
      </c>
      <c r="G34" s="14">
        <v>20</v>
      </c>
      <c r="H34" s="14">
        <v>8</v>
      </c>
      <c r="I34" s="14">
        <v>19</v>
      </c>
      <c r="J34" s="14">
        <v>16</v>
      </c>
      <c r="K34" s="14">
        <v>3</v>
      </c>
      <c r="L34" s="14">
        <v>2</v>
      </c>
      <c r="M34" s="14">
        <v>0</v>
      </c>
      <c r="N34" s="14">
        <v>6</v>
      </c>
      <c r="O34" s="14">
        <v>5</v>
      </c>
      <c r="P34" s="14">
        <v>21</v>
      </c>
      <c r="Q34" s="14">
        <v>11</v>
      </c>
      <c r="R34" s="14">
        <v>0</v>
      </c>
      <c r="S34" s="14">
        <v>10</v>
      </c>
      <c r="T34" s="14">
        <v>0</v>
      </c>
      <c r="U34" s="14">
        <v>3289</v>
      </c>
      <c r="V34" s="14">
        <v>14</v>
      </c>
      <c r="W34" s="14">
        <v>0</v>
      </c>
      <c r="X34" s="14">
        <v>78</v>
      </c>
      <c r="Y34" s="14">
        <v>107</v>
      </c>
      <c r="Z34" s="14">
        <v>13</v>
      </c>
      <c r="AA34" s="14">
        <v>7</v>
      </c>
      <c r="AB34" s="14">
        <v>52</v>
      </c>
      <c r="AC34" s="14">
        <v>3089</v>
      </c>
      <c r="AD34" s="14">
        <v>10</v>
      </c>
      <c r="AE34" s="14">
        <v>10</v>
      </c>
      <c r="AF34" s="14">
        <v>0</v>
      </c>
      <c r="AG34" s="14">
        <v>0</v>
      </c>
    </row>
    <row r="35" spans="1:33" s="23" customFormat="1" ht="15.75" x14ac:dyDescent="0.25">
      <c r="A35" s="21" t="s">
        <v>168</v>
      </c>
      <c r="B35" s="22">
        <v>1940</v>
      </c>
      <c r="C35" s="22">
        <v>1051</v>
      </c>
      <c r="D35" s="22">
        <v>889</v>
      </c>
      <c r="E35" s="22">
        <v>162</v>
      </c>
      <c r="F35" s="22">
        <v>52</v>
      </c>
      <c r="G35" s="22">
        <v>17</v>
      </c>
      <c r="H35" s="22">
        <v>7</v>
      </c>
      <c r="I35" s="22">
        <v>34</v>
      </c>
      <c r="J35" s="22">
        <v>41</v>
      </c>
      <c r="K35" s="22">
        <v>2</v>
      </c>
      <c r="L35" s="22">
        <v>6</v>
      </c>
      <c r="M35" s="22">
        <v>0</v>
      </c>
      <c r="N35" s="22">
        <v>6</v>
      </c>
      <c r="O35" s="22">
        <v>27</v>
      </c>
      <c r="P35" s="22">
        <v>67</v>
      </c>
      <c r="Q35" s="22">
        <v>49</v>
      </c>
      <c r="R35" s="22">
        <v>0</v>
      </c>
      <c r="S35" s="22">
        <v>15</v>
      </c>
      <c r="T35" s="22">
        <v>3</v>
      </c>
      <c r="U35" s="22">
        <v>95</v>
      </c>
      <c r="V35" s="22">
        <v>12</v>
      </c>
      <c r="W35" s="22">
        <v>2</v>
      </c>
      <c r="X35" s="22">
        <v>34</v>
      </c>
      <c r="Y35" s="22">
        <v>15</v>
      </c>
      <c r="Z35" s="22">
        <v>8</v>
      </c>
      <c r="AA35" s="22">
        <v>4</v>
      </c>
      <c r="AB35" s="22">
        <v>0</v>
      </c>
      <c r="AC35" s="22">
        <v>32</v>
      </c>
      <c r="AD35" s="22">
        <v>490</v>
      </c>
      <c r="AE35" s="22">
        <v>379</v>
      </c>
      <c r="AF35" s="22">
        <v>111</v>
      </c>
      <c r="AG35" s="22">
        <v>0</v>
      </c>
    </row>
    <row r="36" spans="1:33" x14ac:dyDescent="0.2">
      <c r="A36" s="10" t="s">
        <v>174</v>
      </c>
      <c r="B36" s="14">
        <v>1757</v>
      </c>
      <c r="C36" s="14">
        <v>997</v>
      </c>
      <c r="D36" s="14">
        <v>760</v>
      </c>
      <c r="E36" s="14">
        <v>154</v>
      </c>
      <c r="F36" s="14">
        <v>47</v>
      </c>
      <c r="G36" s="14">
        <v>15</v>
      </c>
      <c r="H36" s="14">
        <v>7</v>
      </c>
      <c r="I36" s="14">
        <v>33</v>
      </c>
      <c r="J36" s="14">
        <v>39</v>
      </c>
      <c r="K36" s="14">
        <v>2</v>
      </c>
      <c r="L36" s="14">
        <v>4</v>
      </c>
      <c r="M36" s="14">
        <v>0</v>
      </c>
      <c r="N36" s="14">
        <v>6</v>
      </c>
      <c r="O36" s="14">
        <v>27</v>
      </c>
      <c r="P36" s="14">
        <v>63</v>
      </c>
      <c r="Q36" s="14">
        <v>47</v>
      </c>
      <c r="R36" s="14">
        <v>0</v>
      </c>
      <c r="S36" s="14">
        <v>15</v>
      </c>
      <c r="T36" s="14">
        <v>1</v>
      </c>
      <c r="U36" s="14">
        <v>93</v>
      </c>
      <c r="V36" s="14">
        <v>12</v>
      </c>
      <c r="W36" s="14">
        <v>2</v>
      </c>
      <c r="X36" s="14">
        <v>34</v>
      </c>
      <c r="Y36" s="14">
        <v>14</v>
      </c>
      <c r="Z36" s="14">
        <v>7</v>
      </c>
      <c r="AA36" s="14">
        <v>4</v>
      </c>
      <c r="AB36" s="14">
        <v>0</v>
      </c>
      <c r="AC36" s="14">
        <v>31</v>
      </c>
      <c r="AD36" s="14">
        <v>378</v>
      </c>
      <c r="AE36" s="14">
        <v>377</v>
      </c>
      <c r="AF36" s="14">
        <v>1</v>
      </c>
      <c r="AG36" s="14">
        <v>0</v>
      </c>
    </row>
    <row r="37" spans="1:33" x14ac:dyDescent="0.2">
      <c r="A37" s="10" t="s">
        <v>176</v>
      </c>
      <c r="B37" s="14">
        <v>183</v>
      </c>
      <c r="C37" s="14">
        <v>54</v>
      </c>
      <c r="D37" s="14">
        <v>129</v>
      </c>
      <c r="E37" s="14">
        <v>8</v>
      </c>
      <c r="F37" s="14">
        <v>5</v>
      </c>
      <c r="G37" s="14">
        <v>2</v>
      </c>
      <c r="H37" s="14">
        <v>0</v>
      </c>
      <c r="I37" s="14">
        <v>1</v>
      </c>
      <c r="J37" s="14">
        <v>2</v>
      </c>
      <c r="K37" s="14">
        <v>0</v>
      </c>
      <c r="L37" s="14">
        <v>2</v>
      </c>
      <c r="M37" s="14">
        <v>0</v>
      </c>
      <c r="N37" s="14">
        <v>0</v>
      </c>
      <c r="O37" s="14">
        <v>0</v>
      </c>
      <c r="P37" s="14">
        <v>4</v>
      </c>
      <c r="Q37" s="14">
        <v>2</v>
      </c>
      <c r="R37" s="14">
        <v>0</v>
      </c>
      <c r="S37" s="14">
        <v>0</v>
      </c>
      <c r="T37" s="14">
        <v>2</v>
      </c>
      <c r="U37" s="14">
        <v>2</v>
      </c>
      <c r="V37" s="14">
        <v>0</v>
      </c>
      <c r="W37" s="14">
        <v>0</v>
      </c>
      <c r="X37" s="14">
        <v>0</v>
      </c>
      <c r="Y37" s="14">
        <v>1</v>
      </c>
      <c r="Z37" s="14">
        <v>1</v>
      </c>
      <c r="AA37" s="14">
        <v>0</v>
      </c>
      <c r="AB37" s="14">
        <v>0</v>
      </c>
      <c r="AC37" s="14">
        <v>1</v>
      </c>
      <c r="AD37" s="14">
        <v>112</v>
      </c>
      <c r="AE37" s="14">
        <v>2</v>
      </c>
      <c r="AF37" s="14">
        <v>110</v>
      </c>
      <c r="AG37" s="14">
        <v>0</v>
      </c>
    </row>
    <row r="38" spans="1:33" s="23" customFormat="1" ht="15.75" x14ac:dyDescent="0.25">
      <c r="A38" s="24" t="s">
        <v>245</v>
      </c>
      <c r="B38" s="25">
        <v>25212</v>
      </c>
      <c r="C38" s="25">
        <v>20041</v>
      </c>
      <c r="D38" s="25">
        <v>5131</v>
      </c>
      <c r="E38" s="25">
        <v>1769</v>
      </c>
      <c r="F38" s="25">
        <v>1295</v>
      </c>
      <c r="G38" s="25">
        <v>224</v>
      </c>
      <c r="H38" s="25">
        <v>528</v>
      </c>
      <c r="I38" s="25">
        <v>525</v>
      </c>
      <c r="J38" s="25">
        <v>1686</v>
      </c>
      <c r="K38" s="25">
        <v>36</v>
      </c>
      <c r="L38" s="25">
        <v>712</v>
      </c>
      <c r="M38" s="25">
        <v>158</v>
      </c>
      <c r="N38" s="25">
        <v>688</v>
      </c>
      <c r="O38" s="25">
        <v>89</v>
      </c>
      <c r="P38" s="25">
        <v>391</v>
      </c>
      <c r="Q38" s="25">
        <v>66</v>
      </c>
      <c r="R38" s="25">
        <v>10</v>
      </c>
      <c r="S38" s="25">
        <v>111</v>
      </c>
      <c r="T38" s="25">
        <v>204</v>
      </c>
      <c r="U38" s="25">
        <v>724</v>
      </c>
      <c r="V38" s="25">
        <v>116</v>
      </c>
      <c r="W38" s="25">
        <v>8</v>
      </c>
      <c r="X38" s="25">
        <v>44</v>
      </c>
      <c r="Y38" s="25">
        <v>405</v>
      </c>
      <c r="Z38" s="25">
        <v>79</v>
      </c>
      <c r="AA38" s="25">
        <v>162</v>
      </c>
      <c r="AB38" s="25">
        <v>87</v>
      </c>
      <c r="AC38" s="25">
        <v>151</v>
      </c>
      <c r="AD38" s="25">
        <v>36</v>
      </c>
      <c r="AE38" s="25">
        <v>26</v>
      </c>
      <c r="AF38" s="25">
        <v>10</v>
      </c>
      <c r="AG38" s="25">
        <v>40</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14"/>
  <sheetViews>
    <sheetView showGridLines="0" workbookViewId="0"/>
  </sheetViews>
  <sheetFormatPr defaultColWidth="11.5546875" defaultRowHeight="15" x14ac:dyDescent="0.2"/>
  <cols>
    <col min="1" max="1" width="48.6640625" customWidth="1"/>
    <col min="2" max="37" width="12.6640625" customWidth="1"/>
  </cols>
  <sheetData>
    <row r="1" spans="1:37" ht="20.25" x14ac:dyDescent="0.3">
      <c r="A1" s="6" t="s">
        <v>390</v>
      </c>
    </row>
    <row r="2" spans="1:37" x14ac:dyDescent="0.2">
      <c r="A2" t="s">
        <v>94</v>
      </c>
    </row>
    <row r="3" spans="1:37" x14ac:dyDescent="0.2">
      <c r="A3" t="s">
        <v>391</v>
      </c>
    </row>
    <row r="4" spans="1:37" x14ac:dyDescent="0.2">
      <c r="A4" t="s">
        <v>217</v>
      </c>
    </row>
    <row r="5" spans="1:37" x14ac:dyDescent="0.2">
      <c r="A5" t="s">
        <v>218</v>
      </c>
    </row>
    <row r="6" spans="1:37" s="29" customFormat="1" ht="31.5" x14ac:dyDescent="0.25">
      <c r="A6" s="87" t="s">
        <v>392</v>
      </c>
      <c r="B6" s="90" t="s">
        <v>393</v>
      </c>
      <c r="C6" s="91" t="s">
        <v>394</v>
      </c>
      <c r="D6" s="90" t="s">
        <v>395</v>
      </c>
      <c r="E6" s="88" t="s">
        <v>396</v>
      </c>
      <c r="F6" s="63" t="s">
        <v>397</v>
      </c>
      <c r="G6" s="65" t="s">
        <v>398</v>
      </c>
      <c r="H6" s="63" t="s">
        <v>399</v>
      </c>
      <c r="I6" s="65" t="s">
        <v>400</v>
      </c>
      <c r="J6" s="63" t="s">
        <v>401</v>
      </c>
      <c r="K6" s="65" t="s">
        <v>402</v>
      </c>
      <c r="L6" s="63" t="s">
        <v>403</v>
      </c>
      <c r="M6" s="65" t="s">
        <v>404</v>
      </c>
      <c r="N6" s="63" t="s">
        <v>405</v>
      </c>
      <c r="O6" s="65" t="s">
        <v>406</v>
      </c>
      <c r="P6" s="63" t="s">
        <v>407</v>
      </c>
      <c r="Q6" s="65" t="s">
        <v>408</v>
      </c>
      <c r="R6" s="63" t="s">
        <v>409</v>
      </c>
      <c r="S6" s="65" t="s">
        <v>410</v>
      </c>
      <c r="T6" s="63" t="s">
        <v>411</v>
      </c>
      <c r="U6" s="65" t="s">
        <v>412</v>
      </c>
      <c r="V6" s="63" t="s">
        <v>413</v>
      </c>
      <c r="W6" s="65" t="s">
        <v>414</v>
      </c>
      <c r="X6" s="63" t="s">
        <v>415</v>
      </c>
      <c r="Y6" s="65" t="s">
        <v>416</v>
      </c>
      <c r="Z6" s="63" t="s">
        <v>417</v>
      </c>
      <c r="AA6" s="65" t="s">
        <v>418</v>
      </c>
      <c r="AB6" s="63" t="s">
        <v>419</v>
      </c>
      <c r="AC6" s="65" t="s">
        <v>420</v>
      </c>
      <c r="AD6" s="63" t="s">
        <v>421</v>
      </c>
      <c r="AE6" s="65" t="s">
        <v>422</v>
      </c>
      <c r="AF6" s="63" t="s">
        <v>423</v>
      </c>
      <c r="AG6" s="65" t="s">
        <v>424</v>
      </c>
      <c r="AH6" s="63" t="s">
        <v>425</v>
      </c>
      <c r="AI6" s="65" t="s">
        <v>426</v>
      </c>
      <c r="AJ6" s="63" t="s">
        <v>427</v>
      </c>
      <c r="AK6" s="65" t="s">
        <v>428</v>
      </c>
    </row>
    <row r="7" spans="1:37" s="23" customFormat="1" ht="15.75" x14ac:dyDescent="0.25">
      <c r="A7" s="21" t="s">
        <v>238</v>
      </c>
      <c r="B7" s="136">
        <v>585396</v>
      </c>
      <c r="C7" s="105">
        <v>100</v>
      </c>
      <c r="D7" s="104">
        <v>594677</v>
      </c>
      <c r="E7" s="105">
        <v>100</v>
      </c>
      <c r="F7" s="106">
        <v>591072</v>
      </c>
      <c r="G7" s="107">
        <v>100</v>
      </c>
      <c r="H7" s="108">
        <v>605479</v>
      </c>
      <c r="I7" s="109">
        <v>100</v>
      </c>
      <c r="J7" s="110">
        <v>624828</v>
      </c>
      <c r="K7" s="111">
        <v>100</v>
      </c>
      <c r="L7" s="110">
        <v>613936</v>
      </c>
      <c r="M7" s="111">
        <v>100</v>
      </c>
      <c r="N7" s="110">
        <v>640370</v>
      </c>
      <c r="O7" s="112">
        <v>100</v>
      </c>
      <c r="P7" s="110">
        <v>657076</v>
      </c>
      <c r="Q7" s="113">
        <v>100</v>
      </c>
      <c r="R7" s="114">
        <v>679106</v>
      </c>
      <c r="S7" s="113">
        <v>100</v>
      </c>
      <c r="T7" s="110">
        <v>696271</v>
      </c>
      <c r="U7" s="111">
        <v>100</v>
      </c>
      <c r="V7" s="114">
        <v>697852</v>
      </c>
      <c r="W7" s="111">
        <v>100</v>
      </c>
      <c r="X7" s="114">
        <v>695233</v>
      </c>
      <c r="Y7" s="113">
        <v>100</v>
      </c>
      <c r="Z7" s="114">
        <v>698512</v>
      </c>
      <c r="AA7" s="111">
        <v>100</v>
      </c>
      <c r="AB7" s="114">
        <v>729674</v>
      </c>
      <c r="AC7" s="111">
        <v>100</v>
      </c>
      <c r="AD7" s="114">
        <v>723913</v>
      </c>
      <c r="AE7" s="111">
        <v>100</v>
      </c>
      <c r="AF7" s="110">
        <v>723165</v>
      </c>
      <c r="AG7" s="111">
        <v>100</v>
      </c>
      <c r="AH7" s="110">
        <v>706248</v>
      </c>
      <c r="AI7" s="111">
        <v>100</v>
      </c>
      <c r="AJ7" s="110">
        <v>708711</v>
      </c>
      <c r="AK7" s="111">
        <v>100</v>
      </c>
    </row>
    <row r="8" spans="1:37" x14ac:dyDescent="0.2">
      <c r="A8" s="10" t="s">
        <v>429</v>
      </c>
      <c r="B8" s="137">
        <v>160016</v>
      </c>
      <c r="C8" s="16">
        <v>27.3</v>
      </c>
      <c r="D8" s="115">
        <v>158940</v>
      </c>
      <c r="E8" s="29">
        <v>26.7</v>
      </c>
      <c r="F8" s="116">
        <v>146259</v>
      </c>
      <c r="G8" s="117">
        <v>24.7</v>
      </c>
      <c r="H8" s="118">
        <v>139953</v>
      </c>
      <c r="I8" s="119">
        <v>23.1</v>
      </c>
      <c r="J8" s="120">
        <v>134308</v>
      </c>
      <c r="K8" s="121">
        <v>21.5</v>
      </c>
      <c r="L8" s="120">
        <v>134818</v>
      </c>
      <c r="M8" s="121">
        <v>22</v>
      </c>
      <c r="N8" s="120">
        <v>137742</v>
      </c>
      <c r="O8" s="122">
        <v>21.5</v>
      </c>
      <c r="P8" s="120">
        <v>138212</v>
      </c>
      <c r="Q8" s="123">
        <v>21</v>
      </c>
      <c r="R8" s="124">
        <v>143448</v>
      </c>
      <c r="S8" s="123">
        <v>21.1</v>
      </c>
      <c r="T8" s="120">
        <v>145226</v>
      </c>
      <c r="U8" s="121">
        <v>20.9</v>
      </c>
      <c r="V8" s="120">
        <v>141203</v>
      </c>
      <c r="W8" s="125">
        <v>20.2</v>
      </c>
      <c r="X8" s="124">
        <v>136879</v>
      </c>
      <c r="Y8" s="126">
        <v>19.7</v>
      </c>
      <c r="Z8" s="124">
        <v>133495</v>
      </c>
      <c r="AA8" s="126">
        <v>19.100000000000001</v>
      </c>
      <c r="AB8" s="124">
        <v>135364</v>
      </c>
      <c r="AC8" s="126">
        <v>18.600000000000001</v>
      </c>
      <c r="AD8" s="124">
        <v>131288</v>
      </c>
      <c r="AE8" s="123">
        <v>18.100000000000001</v>
      </c>
      <c r="AF8" s="120">
        <v>128322</v>
      </c>
      <c r="AG8" s="121">
        <v>17.7</v>
      </c>
      <c r="AH8" s="120">
        <v>121851</v>
      </c>
      <c r="AI8" s="121">
        <v>17.3</v>
      </c>
      <c r="AJ8" s="120">
        <v>118168</v>
      </c>
      <c r="AK8" s="121">
        <v>16.7</v>
      </c>
    </row>
    <row r="9" spans="1:37" x14ac:dyDescent="0.2">
      <c r="A9" s="10" t="s">
        <v>430</v>
      </c>
      <c r="B9" s="137">
        <v>37465</v>
      </c>
      <c r="C9" s="16">
        <v>6.4</v>
      </c>
      <c r="D9" s="115">
        <v>37330</v>
      </c>
      <c r="E9" s="29">
        <v>6.3</v>
      </c>
      <c r="F9" s="116">
        <v>36019</v>
      </c>
      <c r="G9" s="117">
        <v>6.1</v>
      </c>
      <c r="H9" s="118">
        <v>37387</v>
      </c>
      <c r="I9" s="119">
        <v>6.2</v>
      </c>
      <c r="J9" s="120">
        <v>39695</v>
      </c>
      <c r="K9" s="121">
        <v>6.4</v>
      </c>
      <c r="L9" s="120">
        <v>38836</v>
      </c>
      <c r="M9" s="121">
        <v>6.3</v>
      </c>
      <c r="N9" s="120">
        <v>39814</v>
      </c>
      <c r="O9" s="122">
        <v>6.2</v>
      </c>
      <c r="P9" s="120">
        <v>40537</v>
      </c>
      <c r="Q9" s="123">
        <v>6.2</v>
      </c>
      <c r="R9" s="124">
        <v>42038</v>
      </c>
      <c r="S9" s="123">
        <v>6.2</v>
      </c>
      <c r="T9" s="120">
        <v>43348</v>
      </c>
      <c r="U9" s="121">
        <v>6.2</v>
      </c>
      <c r="V9" s="120">
        <v>43392</v>
      </c>
      <c r="W9" s="125">
        <v>6.2</v>
      </c>
      <c r="X9" s="124">
        <v>43327</v>
      </c>
      <c r="Y9" s="126">
        <v>6.2</v>
      </c>
      <c r="Z9" s="124">
        <v>43930</v>
      </c>
      <c r="AA9" s="126">
        <v>6.3</v>
      </c>
      <c r="AB9" s="124">
        <v>45625</v>
      </c>
      <c r="AC9" s="126">
        <v>6.3</v>
      </c>
      <c r="AD9" s="124">
        <v>45579</v>
      </c>
      <c r="AE9" s="123">
        <v>6.3</v>
      </c>
      <c r="AF9" s="120">
        <v>45739</v>
      </c>
      <c r="AG9" s="121">
        <v>6.3</v>
      </c>
      <c r="AH9" s="120">
        <v>44647</v>
      </c>
      <c r="AI9" s="121">
        <v>6.3</v>
      </c>
      <c r="AJ9" s="120">
        <v>45005</v>
      </c>
      <c r="AK9" s="121">
        <v>6.4</v>
      </c>
    </row>
    <row r="10" spans="1:37" x14ac:dyDescent="0.2">
      <c r="A10" s="10" t="s">
        <v>431</v>
      </c>
      <c r="B10" s="137">
        <v>5131</v>
      </c>
      <c r="C10" s="16">
        <v>0.9</v>
      </c>
      <c r="D10" s="115">
        <v>5390</v>
      </c>
      <c r="E10" s="29">
        <v>0.9</v>
      </c>
      <c r="F10" s="116">
        <v>5697</v>
      </c>
      <c r="G10" s="117">
        <v>1</v>
      </c>
      <c r="H10" s="118">
        <v>5969</v>
      </c>
      <c r="I10" s="127">
        <v>1</v>
      </c>
      <c r="J10" s="120">
        <v>5723</v>
      </c>
      <c r="K10" s="121">
        <v>0.9</v>
      </c>
      <c r="L10" s="120">
        <v>6227</v>
      </c>
      <c r="M10" s="121">
        <v>1</v>
      </c>
      <c r="N10" s="120">
        <v>6447</v>
      </c>
      <c r="O10" s="122">
        <v>1</v>
      </c>
      <c r="P10" s="120">
        <v>6820</v>
      </c>
      <c r="Q10" s="123">
        <v>1</v>
      </c>
      <c r="R10" s="124">
        <v>7165</v>
      </c>
      <c r="S10" s="123">
        <v>1.1000000000000001</v>
      </c>
      <c r="T10" s="120">
        <v>7680</v>
      </c>
      <c r="U10" s="121">
        <v>1.1000000000000001</v>
      </c>
      <c r="V10" s="120">
        <v>7632</v>
      </c>
      <c r="W10" s="125">
        <v>1.1000000000000001</v>
      </c>
      <c r="X10" s="124">
        <v>7404</v>
      </c>
      <c r="Y10" s="126">
        <v>1.1000000000000001</v>
      </c>
      <c r="Z10" s="124">
        <v>7650</v>
      </c>
      <c r="AA10" s="126">
        <v>1.1000000000000001</v>
      </c>
      <c r="AB10" s="124">
        <v>8090</v>
      </c>
      <c r="AC10" s="126">
        <v>1.1000000000000001</v>
      </c>
      <c r="AD10" s="124">
        <v>7662</v>
      </c>
      <c r="AE10" s="123">
        <v>1.1000000000000001</v>
      </c>
      <c r="AF10" s="120">
        <v>7766</v>
      </c>
      <c r="AG10" s="121">
        <v>1.1000000000000001</v>
      </c>
      <c r="AH10" s="120">
        <v>7676</v>
      </c>
      <c r="AI10" s="121">
        <v>1.1000000000000001</v>
      </c>
      <c r="AJ10" s="120">
        <v>7661</v>
      </c>
      <c r="AK10" s="121">
        <v>1.1000000000000001</v>
      </c>
    </row>
    <row r="11" spans="1:37" x14ac:dyDescent="0.2">
      <c r="A11" s="10" t="s">
        <v>432</v>
      </c>
      <c r="B11" s="137">
        <v>32653</v>
      </c>
      <c r="C11" s="16">
        <v>5.6</v>
      </c>
      <c r="D11" s="115">
        <v>33053</v>
      </c>
      <c r="E11" s="29">
        <v>5.6</v>
      </c>
      <c r="F11" s="116">
        <v>32440</v>
      </c>
      <c r="G11" s="117">
        <v>5.5</v>
      </c>
      <c r="H11" s="118">
        <v>33240</v>
      </c>
      <c r="I11" s="119">
        <v>5.5</v>
      </c>
      <c r="J11" s="120">
        <v>34163</v>
      </c>
      <c r="K11" s="121">
        <v>5.5</v>
      </c>
      <c r="L11" s="120">
        <v>33921</v>
      </c>
      <c r="M11" s="121">
        <v>5.5</v>
      </c>
      <c r="N11" s="120">
        <v>35375</v>
      </c>
      <c r="O11" s="122">
        <v>5.5</v>
      </c>
      <c r="P11" s="120">
        <v>36364</v>
      </c>
      <c r="Q11" s="123">
        <v>5.5</v>
      </c>
      <c r="R11" s="124">
        <v>37502</v>
      </c>
      <c r="S11" s="123">
        <v>5.5</v>
      </c>
      <c r="T11" s="120">
        <v>38531</v>
      </c>
      <c r="U11" s="121">
        <v>5.5</v>
      </c>
      <c r="V11" s="120">
        <v>38584</v>
      </c>
      <c r="W11" s="125">
        <v>5.5</v>
      </c>
      <c r="X11" s="124">
        <v>38236</v>
      </c>
      <c r="Y11" s="126">
        <v>5.5</v>
      </c>
      <c r="Z11" s="124">
        <v>38640</v>
      </c>
      <c r="AA11" s="126">
        <v>5.5</v>
      </c>
      <c r="AB11" s="124">
        <v>40270</v>
      </c>
      <c r="AC11" s="126">
        <v>5.5</v>
      </c>
      <c r="AD11" s="124">
        <v>40411</v>
      </c>
      <c r="AE11" s="123">
        <v>5.6</v>
      </c>
      <c r="AF11" s="120">
        <v>41068</v>
      </c>
      <c r="AG11" s="121">
        <v>5.7</v>
      </c>
      <c r="AH11" s="120">
        <v>40792</v>
      </c>
      <c r="AI11" s="121">
        <v>5.8</v>
      </c>
      <c r="AJ11" s="120">
        <v>41666</v>
      </c>
      <c r="AK11" s="121">
        <v>5.9</v>
      </c>
    </row>
    <row r="12" spans="1:37" x14ac:dyDescent="0.2">
      <c r="A12" s="10" t="s">
        <v>433</v>
      </c>
      <c r="B12" s="137">
        <v>20039</v>
      </c>
      <c r="C12" s="16">
        <v>3.4</v>
      </c>
      <c r="D12" s="115">
        <v>21152</v>
      </c>
      <c r="E12" s="29">
        <v>3.6</v>
      </c>
      <c r="F12" s="116">
        <v>22235</v>
      </c>
      <c r="G12" s="117">
        <v>3.8</v>
      </c>
      <c r="H12" s="118">
        <v>23758</v>
      </c>
      <c r="I12" s="119">
        <v>3.9</v>
      </c>
      <c r="J12" s="120">
        <v>23282</v>
      </c>
      <c r="K12" s="121">
        <v>3.7</v>
      </c>
      <c r="L12" s="120">
        <v>25735</v>
      </c>
      <c r="M12" s="121">
        <v>4.2</v>
      </c>
      <c r="N12" s="120">
        <v>26662</v>
      </c>
      <c r="O12" s="122">
        <v>4.2</v>
      </c>
      <c r="P12" s="120">
        <v>27249</v>
      </c>
      <c r="Q12" s="123">
        <v>4.0999999999999996</v>
      </c>
      <c r="R12" s="124">
        <v>28039</v>
      </c>
      <c r="S12" s="123">
        <v>4.0999999999999996</v>
      </c>
      <c r="T12" s="120">
        <v>28451</v>
      </c>
      <c r="U12" s="121">
        <v>4.0999999999999996</v>
      </c>
      <c r="V12" s="120">
        <v>29177</v>
      </c>
      <c r="W12" s="125">
        <v>4.2</v>
      </c>
      <c r="X12" s="124">
        <v>30372</v>
      </c>
      <c r="Y12" s="126">
        <v>4.4000000000000004</v>
      </c>
      <c r="Z12" s="124">
        <v>31661</v>
      </c>
      <c r="AA12" s="126">
        <v>4.5</v>
      </c>
      <c r="AB12" s="124">
        <v>33799</v>
      </c>
      <c r="AC12" s="126">
        <v>4.5999999999999996</v>
      </c>
      <c r="AD12" s="124">
        <v>34168</v>
      </c>
      <c r="AE12" s="123">
        <v>4.7</v>
      </c>
      <c r="AF12" s="120">
        <v>34734</v>
      </c>
      <c r="AG12" s="121">
        <v>4.8</v>
      </c>
      <c r="AH12" s="120">
        <v>36068</v>
      </c>
      <c r="AI12" s="121">
        <v>5.0999999999999996</v>
      </c>
      <c r="AJ12" s="120">
        <v>37807</v>
      </c>
      <c r="AK12" s="121">
        <v>5.3</v>
      </c>
    </row>
    <row r="13" spans="1:37" x14ac:dyDescent="0.2">
      <c r="A13" s="10" t="s">
        <v>434</v>
      </c>
      <c r="B13" s="137">
        <v>330040</v>
      </c>
      <c r="C13" s="16">
        <v>56.4</v>
      </c>
      <c r="D13" s="115">
        <v>338779</v>
      </c>
      <c r="E13" s="122">
        <v>57</v>
      </c>
      <c r="F13" s="116">
        <v>348382</v>
      </c>
      <c r="G13" s="117">
        <v>58.9</v>
      </c>
      <c r="H13" s="118">
        <v>365111</v>
      </c>
      <c r="I13" s="119">
        <v>60.3</v>
      </c>
      <c r="J13" s="120">
        <v>387610</v>
      </c>
      <c r="K13" s="121">
        <v>62</v>
      </c>
      <c r="L13" s="120">
        <v>374368</v>
      </c>
      <c r="M13" s="121">
        <v>61</v>
      </c>
      <c r="N13" s="120">
        <v>394291</v>
      </c>
      <c r="O13" s="122">
        <v>61.6</v>
      </c>
      <c r="P13" s="120">
        <v>407863</v>
      </c>
      <c r="Q13" s="123">
        <v>62.1</v>
      </c>
      <c r="R13" s="124">
        <v>420876</v>
      </c>
      <c r="S13" s="123">
        <v>62</v>
      </c>
      <c r="T13" s="120">
        <v>432992</v>
      </c>
      <c r="U13" s="121">
        <v>62.2</v>
      </c>
      <c r="V13" s="120">
        <v>437827</v>
      </c>
      <c r="W13" s="125">
        <v>62.7</v>
      </c>
      <c r="X13" s="124">
        <v>438979</v>
      </c>
      <c r="Y13" s="126">
        <v>63.1</v>
      </c>
      <c r="Z13" s="124">
        <v>443110</v>
      </c>
      <c r="AA13" s="126">
        <v>63.4</v>
      </c>
      <c r="AB13" s="124">
        <v>466503</v>
      </c>
      <c r="AC13" s="126">
        <v>63.9</v>
      </c>
      <c r="AD13" s="124">
        <v>464785</v>
      </c>
      <c r="AE13" s="123">
        <v>64.2</v>
      </c>
      <c r="AF13" s="120">
        <v>465519</v>
      </c>
      <c r="AG13" s="121">
        <v>64.400000000000006</v>
      </c>
      <c r="AH13" s="120">
        <v>455186</v>
      </c>
      <c r="AI13" s="121">
        <v>64.5</v>
      </c>
      <c r="AJ13" s="120">
        <v>458381</v>
      </c>
      <c r="AK13" s="121">
        <v>64.7</v>
      </c>
    </row>
    <row r="14" spans="1:37" x14ac:dyDescent="0.2">
      <c r="A14" s="13" t="s">
        <v>435</v>
      </c>
      <c r="B14" s="138">
        <v>52</v>
      </c>
      <c r="C14" s="100" t="s">
        <v>436</v>
      </c>
      <c r="D14" s="128">
        <v>33</v>
      </c>
      <c r="E14" s="129" t="s">
        <v>436</v>
      </c>
      <c r="F14" s="130">
        <v>40</v>
      </c>
      <c r="G14" s="131" t="s">
        <v>436</v>
      </c>
      <c r="H14" s="132">
        <v>61</v>
      </c>
      <c r="I14" s="131" t="s">
        <v>436</v>
      </c>
      <c r="J14" s="133">
        <v>47</v>
      </c>
      <c r="K14" s="134" t="s">
        <v>436</v>
      </c>
      <c r="L14" s="133">
        <v>31</v>
      </c>
      <c r="M14" s="131" t="s">
        <v>436</v>
      </c>
      <c r="N14" s="133">
        <v>39</v>
      </c>
      <c r="O14" s="131" t="s">
        <v>436</v>
      </c>
      <c r="P14" s="133">
        <v>31</v>
      </c>
      <c r="Q14" s="131" t="s">
        <v>436</v>
      </c>
      <c r="R14" s="135">
        <v>38</v>
      </c>
      <c r="S14" s="131" t="s">
        <v>436</v>
      </c>
      <c r="T14" s="133">
        <v>43</v>
      </c>
      <c r="U14" s="131" t="s">
        <v>436</v>
      </c>
      <c r="V14" s="133">
        <v>37</v>
      </c>
      <c r="W14" s="131" t="s">
        <v>436</v>
      </c>
      <c r="X14" s="135">
        <v>36</v>
      </c>
      <c r="Y14" s="131" t="s">
        <v>436</v>
      </c>
      <c r="Z14" s="135">
        <v>26</v>
      </c>
      <c r="AA14" s="131" t="s">
        <v>436</v>
      </c>
      <c r="AB14" s="135">
        <v>23</v>
      </c>
      <c r="AC14" s="131" t="s">
        <v>436</v>
      </c>
      <c r="AD14" s="135">
        <v>20</v>
      </c>
      <c r="AE14" s="131" t="s">
        <v>436</v>
      </c>
      <c r="AF14" s="133">
        <v>17</v>
      </c>
      <c r="AG14" s="131" t="s">
        <v>436</v>
      </c>
      <c r="AH14" s="133">
        <v>28</v>
      </c>
      <c r="AI14" s="131" t="s">
        <v>436</v>
      </c>
      <c r="AJ14" s="133">
        <v>23</v>
      </c>
      <c r="AK14" s="131" t="s">
        <v>436</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8"/>
  <sheetViews>
    <sheetView showGridLines="0" workbookViewId="0"/>
  </sheetViews>
  <sheetFormatPr defaultColWidth="11.5546875" defaultRowHeight="15" x14ac:dyDescent="0.2"/>
  <cols>
    <col min="1" max="1" width="30.6640625" customWidth="1"/>
    <col min="2" max="11" width="12.109375" customWidth="1"/>
  </cols>
  <sheetData>
    <row r="1" spans="1:11" ht="20.25" x14ac:dyDescent="0.3">
      <c r="A1" s="6" t="s">
        <v>437</v>
      </c>
    </row>
    <row r="2" spans="1:11" x14ac:dyDescent="0.2">
      <c r="A2" t="s">
        <v>94</v>
      </c>
    </row>
    <row r="3" spans="1:11" x14ac:dyDescent="0.2">
      <c r="A3" t="s">
        <v>438</v>
      </c>
    </row>
    <row r="4" spans="1:11" x14ac:dyDescent="0.2">
      <c r="A4" t="s">
        <v>217</v>
      </c>
    </row>
    <row r="5" spans="1:11" x14ac:dyDescent="0.2">
      <c r="A5" t="s">
        <v>218</v>
      </c>
    </row>
    <row r="6" spans="1:11" ht="63" x14ac:dyDescent="0.2">
      <c r="A6" s="12" t="s">
        <v>219</v>
      </c>
      <c r="B6" s="11" t="s">
        <v>439</v>
      </c>
      <c r="C6" s="11" t="s">
        <v>440</v>
      </c>
      <c r="D6" s="11" t="s">
        <v>441</v>
      </c>
      <c r="E6" s="11" t="s">
        <v>442</v>
      </c>
      <c r="F6" s="11" t="s">
        <v>443</v>
      </c>
      <c r="G6" s="11" t="s">
        <v>444</v>
      </c>
      <c r="H6" s="11" t="s">
        <v>445</v>
      </c>
      <c r="I6" s="11" t="s">
        <v>446</v>
      </c>
      <c r="J6" s="11" t="s">
        <v>447</v>
      </c>
      <c r="K6" s="11" t="s">
        <v>448</v>
      </c>
    </row>
    <row r="7" spans="1:11" s="23" customFormat="1" ht="15.75" x14ac:dyDescent="0.25">
      <c r="A7" s="21" t="s">
        <v>238</v>
      </c>
      <c r="B7" s="22">
        <v>585396</v>
      </c>
      <c r="C7" s="22">
        <v>12196</v>
      </c>
      <c r="D7" s="22">
        <v>63485</v>
      </c>
      <c r="E7" s="22">
        <v>146600</v>
      </c>
      <c r="F7" s="22">
        <v>206013</v>
      </c>
      <c r="G7" s="22">
        <v>125912</v>
      </c>
      <c r="H7" s="22">
        <v>28317</v>
      </c>
      <c r="I7" s="22">
        <v>2439</v>
      </c>
      <c r="J7" s="93">
        <v>361</v>
      </c>
      <c r="K7" s="93">
        <v>73</v>
      </c>
    </row>
    <row r="8" spans="1:11" s="23" customFormat="1" ht="15.75" x14ac:dyDescent="0.25">
      <c r="A8" s="21" t="s">
        <v>111</v>
      </c>
      <c r="B8" s="22">
        <v>382732</v>
      </c>
      <c r="C8" s="22">
        <v>10287</v>
      </c>
      <c r="D8" s="22">
        <v>45254</v>
      </c>
      <c r="E8" s="22">
        <v>94958</v>
      </c>
      <c r="F8" s="22">
        <v>136791</v>
      </c>
      <c r="G8" s="22">
        <v>78598</v>
      </c>
      <c r="H8" s="22">
        <v>15583</v>
      </c>
      <c r="I8" s="22">
        <v>1097</v>
      </c>
      <c r="J8" s="93">
        <v>128</v>
      </c>
      <c r="K8" s="93">
        <v>36</v>
      </c>
    </row>
    <row r="9" spans="1:11" s="23" customFormat="1" ht="15.75" x14ac:dyDescent="0.25">
      <c r="A9" s="21" t="s">
        <v>239</v>
      </c>
      <c r="B9" s="22">
        <v>202612</v>
      </c>
      <c r="C9" s="22">
        <v>1908</v>
      </c>
      <c r="D9" s="22">
        <v>18226</v>
      </c>
      <c r="E9" s="22">
        <v>51629</v>
      </c>
      <c r="F9" s="22">
        <v>69209</v>
      </c>
      <c r="G9" s="22">
        <v>47298</v>
      </c>
      <c r="H9" s="22">
        <v>12730</v>
      </c>
      <c r="I9" s="22">
        <v>1342</v>
      </c>
      <c r="J9" s="93">
        <v>233</v>
      </c>
      <c r="K9" s="93">
        <v>37</v>
      </c>
    </row>
    <row r="10" spans="1:11" s="23" customFormat="1" ht="15.75" x14ac:dyDescent="0.25">
      <c r="A10" s="21" t="s">
        <v>114</v>
      </c>
      <c r="B10" s="22">
        <v>43776</v>
      </c>
      <c r="C10" s="22">
        <v>1157</v>
      </c>
      <c r="D10" s="22">
        <v>4393</v>
      </c>
      <c r="E10" s="22">
        <v>8934</v>
      </c>
      <c r="F10" s="22">
        <v>14206</v>
      </c>
      <c r="G10" s="22">
        <v>11628</v>
      </c>
      <c r="H10" s="22">
        <v>3153</v>
      </c>
      <c r="I10" s="22">
        <v>270</v>
      </c>
      <c r="J10" s="93">
        <v>22</v>
      </c>
      <c r="K10" s="93">
        <v>13</v>
      </c>
    </row>
    <row r="11" spans="1:11" x14ac:dyDescent="0.2">
      <c r="A11" s="10" t="s">
        <v>117</v>
      </c>
      <c r="B11" s="14">
        <v>26841</v>
      </c>
      <c r="C11" s="14">
        <v>905</v>
      </c>
      <c r="D11" s="14">
        <v>3301</v>
      </c>
      <c r="E11" s="14">
        <v>6276</v>
      </c>
      <c r="F11" s="14">
        <v>8168</v>
      </c>
      <c r="G11" s="14">
        <v>6292</v>
      </c>
      <c r="H11" s="14">
        <v>1739</v>
      </c>
      <c r="I11" s="14">
        <v>143</v>
      </c>
      <c r="J11" s="16">
        <v>9</v>
      </c>
      <c r="K11" s="16">
        <v>8</v>
      </c>
    </row>
    <row r="12" spans="1:11" x14ac:dyDescent="0.2">
      <c r="A12" s="10" t="s">
        <v>240</v>
      </c>
      <c r="B12" s="14">
        <v>6943</v>
      </c>
      <c r="C12" s="14">
        <v>75</v>
      </c>
      <c r="D12" s="14">
        <v>512</v>
      </c>
      <c r="E12" s="14">
        <v>1412</v>
      </c>
      <c r="F12" s="14">
        <v>2319</v>
      </c>
      <c r="G12" s="14">
        <v>1893</v>
      </c>
      <c r="H12" s="14">
        <v>685</v>
      </c>
      <c r="I12" s="14">
        <v>45</v>
      </c>
      <c r="J12" s="16">
        <v>1</v>
      </c>
      <c r="K12" s="16">
        <v>1</v>
      </c>
    </row>
    <row r="13" spans="1:11" x14ac:dyDescent="0.2">
      <c r="A13" s="10" t="s">
        <v>241</v>
      </c>
      <c r="B13" s="14">
        <v>10649</v>
      </c>
      <c r="C13" s="14">
        <v>501</v>
      </c>
      <c r="D13" s="14">
        <v>1710</v>
      </c>
      <c r="E13" s="14">
        <v>3054</v>
      </c>
      <c r="F13" s="14">
        <v>2888</v>
      </c>
      <c r="G13" s="14">
        <v>2060</v>
      </c>
      <c r="H13" s="14">
        <v>396</v>
      </c>
      <c r="I13" s="14">
        <v>36</v>
      </c>
      <c r="J13" s="16">
        <v>1</v>
      </c>
      <c r="K13" s="16">
        <v>3</v>
      </c>
    </row>
    <row r="14" spans="1:11" s="23" customFormat="1" ht="15.75" x14ac:dyDescent="0.25">
      <c r="A14" s="21" t="s">
        <v>120</v>
      </c>
      <c r="B14" s="22">
        <v>11829</v>
      </c>
      <c r="C14" s="22">
        <v>42</v>
      </c>
      <c r="D14" s="22">
        <v>972</v>
      </c>
      <c r="E14" s="22">
        <v>3235</v>
      </c>
      <c r="F14" s="22">
        <v>4037</v>
      </c>
      <c r="G14" s="22">
        <v>2724</v>
      </c>
      <c r="H14" s="22">
        <v>730</v>
      </c>
      <c r="I14" s="22">
        <v>71</v>
      </c>
      <c r="J14" s="93">
        <v>13</v>
      </c>
      <c r="K14" s="93">
        <v>5</v>
      </c>
    </row>
    <row r="15" spans="1:11" s="23" customFormat="1" ht="15.75" x14ac:dyDescent="0.25">
      <c r="A15" s="21" t="s">
        <v>123</v>
      </c>
      <c r="B15" s="22">
        <v>42589</v>
      </c>
      <c r="C15" s="22">
        <v>132</v>
      </c>
      <c r="D15" s="22">
        <v>1921</v>
      </c>
      <c r="E15" s="22">
        <v>10637</v>
      </c>
      <c r="F15" s="22">
        <v>16204</v>
      </c>
      <c r="G15" s="22">
        <v>10050</v>
      </c>
      <c r="H15" s="22">
        <v>3064</v>
      </c>
      <c r="I15" s="22">
        <v>453</v>
      </c>
      <c r="J15" s="93">
        <v>119</v>
      </c>
      <c r="K15" s="93">
        <v>9</v>
      </c>
    </row>
    <row r="16" spans="1:11" x14ac:dyDescent="0.2">
      <c r="A16" s="10" t="s">
        <v>125</v>
      </c>
      <c r="B16" s="14">
        <v>4951</v>
      </c>
      <c r="C16" s="14">
        <v>15</v>
      </c>
      <c r="D16" s="14">
        <v>338</v>
      </c>
      <c r="E16" s="14">
        <v>1340</v>
      </c>
      <c r="F16" s="14">
        <v>1724</v>
      </c>
      <c r="G16" s="14">
        <v>1136</v>
      </c>
      <c r="H16" s="14">
        <v>359</v>
      </c>
      <c r="I16" s="14">
        <v>34</v>
      </c>
      <c r="J16" s="16">
        <v>4</v>
      </c>
      <c r="K16" s="16">
        <v>1</v>
      </c>
    </row>
    <row r="17" spans="1:11" x14ac:dyDescent="0.2">
      <c r="A17" s="10" t="s">
        <v>128</v>
      </c>
      <c r="B17" s="14">
        <v>22078</v>
      </c>
      <c r="C17" s="14">
        <v>43</v>
      </c>
      <c r="D17" s="14">
        <v>750</v>
      </c>
      <c r="E17" s="14">
        <v>5639</v>
      </c>
      <c r="F17" s="14">
        <v>8874</v>
      </c>
      <c r="G17" s="14">
        <v>4972</v>
      </c>
      <c r="H17" s="14">
        <v>1477</v>
      </c>
      <c r="I17" s="14">
        <v>243</v>
      </c>
      <c r="J17" s="16">
        <v>75</v>
      </c>
      <c r="K17" s="16">
        <v>5</v>
      </c>
    </row>
    <row r="18" spans="1:11" x14ac:dyDescent="0.2">
      <c r="A18" s="10" t="s">
        <v>131</v>
      </c>
      <c r="B18" s="14">
        <v>1634</v>
      </c>
      <c r="C18" s="14">
        <v>7</v>
      </c>
      <c r="D18" s="14">
        <v>69</v>
      </c>
      <c r="E18" s="14">
        <v>414</v>
      </c>
      <c r="F18" s="14">
        <v>562</v>
      </c>
      <c r="G18" s="14">
        <v>422</v>
      </c>
      <c r="H18" s="14">
        <v>146</v>
      </c>
      <c r="I18" s="14">
        <v>11</v>
      </c>
      <c r="J18" s="16">
        <v>3</v>
      </c>
      <c r="K18" s="16">
        <v>0</v>
      </c>
    </row>
    <row r="19" spans="1:11" x14ac:dyDescent="0.2">
      <c r="A19" s="10" t="s">
        <v>133</v>
      </c>
      <c r="B19" s="14">
        <v>11036</v>
      </c>
      <c r="C19" s="14">
        <v>57</v>
      </c>
      <c r="D19" s="14">
        <v>658</v>
      </c>
      <c r="E19" s="14">
        <v>2744</v>
      </c>
      <c r="F19" s="14">
        <v>3902</v>
      </c>
      <c r="G19" s="14">
        <v>2628</v>
      </c>
      <c r="H19" s="14">
        <v>867</v>
      </c>
      <c r="I19" s="14">
        <v>149</v>
      </c>
      <c r="J19" s="16">
        <v>28</v>
      </c>
      <c r="K19" s="16">
        <v>3</v>
      </c>
    </row>
    <row r="20" spans="1:11" x14ac:dyDescent="0.2">
      <c r="A20" s="10" t="s">
        <v>136</v>
      </c>
      <c r="B20" s="14">
        <v>2872</v>
      </c>
      <c r="C20" s="14">
        <v>10</v>
      </c>
      <c r="D20" s="14">
        <v>103</v>
      </c>
      <c r="E20" s="14">
        <v>495</v>
      </c>
      <c r="F20" s="14">
        <v>1137</v>
      </c>
      <c r="G20" s="14">
        <v>891</v>
      </c>
      <c r="H20" s="14">
        <v>213</v>
      </c>
      <c r="I20" s="14">
        <v>16</v>
      </c>
      <c r="J20" s="16">
        <v>7</v>
      </c>
      <c r="K20" s="16">
        <v>0</v>
      </c>
    </row>
    <row r="21" spans="1:11" s="23" customFormat="1" ht="15.75" x14ac:dyDescent="0.25">
      <c r="A21" s="21" t="s">
        <v>139</v>
      </c>
      <c r="B21" s="22">
        <v>11176</v>
      </c>
      <c r="C21" s="22">
        <v>42</v>
      </c>
      <c r="D21" s="22">
        <v>605</v>
      </c>
      <c r="E21" s="22">
        <v>1924</v>
      </c>
      <c r="F21" s="22">
        <v>3786</v>
      </c>
      <c r="G21" s="22">
        <v>3626</v>
      </c>
      <c r="H21" s="22">
        <v>1092</v>
      </c>
      <c r="I21" s="22">
        <v>82</v>
      </c>
      <c r="J21" s="93">
        <v>17</v>
      </c>
      <c r="K21" s="93">
        <v>2</v>
      </c>
    </row>
    <row r="22" spans="1:11" x14ac:dyDescent="0.2">
      <c r="A22" s="10" t="s">
        <v>141</v>
      </c>
      <c r="B22" s="14">
        <v>4453</v>
      </c>
      <c r="C22" s="14">
        <v>14</v>
      </c>
      <c r="D22" s="14">
        <v>171</v>
      </c>
      <c r="E22" s="14">
        <v>598</v>
      </c>
      <c r="F22" s="14">
        <v>1629</v>
      </c>
      <c r="G22" s="14">
        <v>1603</v>
      </c>
      <c r="H22" s="14">
        <v>403</v>
      </c>
      <c r="I22" s="14">
        <v>29</v>
      </c>
      <c r="J22" s="16">
        <v>5</v>
      </c>
      <c r="K22" s="16">
        <v>1</v>
      </c>
    </row>
    <row r="23" spans="1:11" x14ac:dyDescent="0.2">
      <c r="A23" s="10" t="s">
        <v>144</v>
      </c>
      <c r="B23" s="14">
        <v>543</v>
      </c>
      <c r="C23" s="14">
        <v>2</v>
      </c>
      <c r="D23" s="14">
        <v>31</v>
      </c>
      <c r="E23" s="14">
        <v>85</v>
      </c>
      <c r="F23" s="14">
        <v>170</v>
      </c>
      <c r="G23" s="14">
        <v>208</v>
      </c>
      <c r="H23" s="14">
        <v>43</v>
      </c>
      <c r="I23" s="14">
        <v>4</v>
      </c>
      <c r="J23" s="16">
        <v>0</v>
      </c>
      <c r="K23" s="16">
        <v>0</v>
      </c>
    </row>
    <row r="24" spans="1:11" x14ac:dyDescent="0.2">
      <c r="A24" s="10" t="s">
        <v>147</v>
      </c>
      <c r="B24" s="14">
        <v>4354</v>
      </c>
      <c r="C24" s="14">
        <v>13</v>
      </c>
      <c r="D24" s="14">
        <v>271</v>
      </c>
      <c r="E24" s="14">
        <v>821</v>
      </c>
      <c r="F24" s="14">
        <v>1402</v>
      </c>
      <c r="G24" s="14">
        <v>1345</v>
      </c>
      <c r="H24" s="14">
        <v>457</v>
      </c>
      <c r="I24" s="14">
        <v>35</v>
      </c>
      <c r="J24" s="16">
        <v>9</v>
      </c>
      <c r="K24" s="16">
        <v>1</v>
      </c>
    </row>
    <row r="25" spans="1:11" x14ac:dyDescent="0.2">
      <c r="A25" s="10" t="s">
        <v>150</v>
      </c>
      <c r="B25" s="14">
        <v>1826</v>
      </c>
      <c r="C25" s="14">
        <v>13</v>
      </c>
      <c r="D25" s="14">
        <v>132</v>
      </c>
      <c r="E25" s="14">
        <v>420</v>
      </c>
      <c r="F25" s="14">
        <v>585</v>
      </c>
      <c r="G25" s="14">
        <v>470</v>
      </c>
      <c r="H25" s="14">
        <v>189</v>
      </c>
      <c r="I25" s="14">
        <v>14</v>
      </c>
      <c r="J25" s="16">
        <v>3</v>
      </c>
      <c r="K25" s="16">
        <v>0</v>
      </c>
    </row>
    <row r="26" spans="1:11" s="23" customFormat="1" ht="15.75" x14ac:dyDescent="0.25">
      <c r="A26" s="21" t="s">
        <v>153</v>
      </c>
      <c r="B26" s="22">
        <v>91265</v>
      </c>
      <c r="C26" s="22">
        <v>534</v>
      </c>
      <c r="D26" s="22">
        <v>10294</v>
      </c>
      <c r="E26" s="22">
        <v>26719</v>
      </c>
      <c r="F26" s="22">
        <v>30234</v>
      </c>
      <c r="G26" s="22">
        <v>18481</v>
      </c>
      <c r="H26" s="22">
        <v>4493</v>
      </c>
      <c r="I26" s="22">
        <v>442</v>
      </c>
      <c r="J26" s="93">
        <v>60</v>
      </c>
      <c r="K26" s="93">
        <v>8</v>
      </c>
    </row>
    <row r="27" spans="1:11" x14ac:dyDescent="0.2">
      <c r="A27" s="10" t="s">
        <v>155</v>
      </c>
      <c r="B27" s="14">
        <v>11750</v>
      </c>
      <c r="C27" s="14">
        <v>158</v>
      </c>
      <c r="D27" s="14">
        <v>1729</v>
      </c>
      <c r="E27" s="14">
        <v>3025</v>
      </c>
      <c r="F27" s="14">
        <v>3230</v>
      </c>
      <c r="G27" s="14">
        <v>2655</v>
      </c>
      <c r="H27" s="14">
        <v>883</v>
      </c>
      <c r="I27" s="14">
        <v>63</v>
      </c>
      <c r="J27" s="16">
        <v>7</v>
      </c>
      <c r="K27" s="16">
        <v>0</v>
      </c>
    </row>
    <row r="28" spans="1:11" x14ac:dyDescent="0.2">
      <c r="A28" s="10" t="s">
        <v>158</v>
      </c>
      <c r="B28" s="14">
        <v>451</v>
      </c>
      <c r="C28" s="14">
        <v>5</v>
      </c>
      <c r="D28" s="14">
        <v>39</v>
      </c>
      <c r="E28" s="14">
        <v>115</v>
      </c>
      <c r="F28" s="14">
        <v>137</v>
      </c>
      <c r="G28" s="14">
        <v>117</v>
      </c>
      <c r="H28" s="14">
        <v>31</v>
      </c>
      <c r="I28" s="14">
        <v>6</v>
      </c>
      <c r="J28" s="16">
        <v>1</v>
      </c>
      <c r="K28" s="16">
        <v>0</v>
      </c>
    </row>
    <row r="29" spans="1:11" x14ac:dyDescent="0.2">
      <c r="A29" s="10" t="s">
        <v>160</v>
      </c>
      <c r="B29" s="14">
        <v>3968</v>
      </c>
      <c r="C29" s="14">
        <v>1</v>
      </c>
      <c r="D29" s="14">
        <v>53</v>
      </c>
      <c r="E29" s="14">
        <v>395</v>
      </c>
      <c r="F29" s="14">
        <v>1489</v>
      </c>
      <c r="G29" s="14">
        <v>1548</v>
      </c>
      <c r="H29" s="14">
        <v>435</v>
      </c>
      <c r="I29" s="14">
        <v>44</v>
      </c>
      <c r="J29" s="16">
        <v>3</v>
      </c>
      <c r="K29" s="16">
        <v>0</v>
      </c>
    </row>
    <row r="30" spans="1:11" x14ac:dyDescent="0.2">
      <c r="A30" s="10" t="s">
        <v>163</v>
      </c>
      <c r="B30" s="14">
        <v>69023</v>
      </c>
      <c r="C30" s="14">
        <v>331</v>
      </c>
      <c r="D30" s="14">
        <v>8124</v>
      </c>
      <c r="E30" s="14">
        <v>22196</v>
      </c>
      <c r="F30" s="14">
        <v>23074</v>
      </c>
      <c r="G30" s="14">
        <v>12301</v>
      </c>
      <c r="H30" s="14">
        <v>2662</v>
      </c>
      <c r="I30" s="14">
        <v>286</v>
      </c>
      <c r="J30" s="16">
        <v>45</v>
      </c>
      <c r="K30" s="16">
        <v>4</v>
      </c>
    </row>
    <row r="31" spans="1:11" x14ac:dyDescent="0.2">
      <c r="A31" s="10" t="s">
        <v>242</v>
      </c>
      <c r="B31" s="14">
        <v>27601</v>
      </c>
      <c r="C31" s="14">
        <v>21</v>
      </c>
      <c r="D31" s="14">
        <v>2197</v>
      </c>
      <c r="E31" s="14">
        <v>8652</v>
      </c>
      <c r="F31" s="14">
        <v>10444</v>
      </c>
      <c r="G31" s="14">
        <v>5210</v>
      </c>
      <c r="H31" s="14">
        <v>940</v>
      </c>
      <c r="I31" s="14">
        <v>111</v>
      </c>
      <c r="J31" s="16">
        <v>24</v>
      </c>
      <c r="K31" s="16">
        <v>2</v>
      </c>
    </row>
    <row r="32" spans="1:11" x14ac:dyDescent="0.2">
      <c r="A32" s="10" t="s">
        <v>243</v>
      </c>
      <c r="B32" s="14">
        <v>22058</v>
      </c>
      <c r="C32" s="14">
        <v>194</v>
      </c>
      <c r="D32" s="14">
        <v>3090</v>
      </c>
      <c r="E32" s="14">
        <v>7330</v>
      </c>
      <c r="F32" s="14">
        <v>6615</v>
      </c>
      <c r="G32" s="14">
        <v>3803</v>
      </c>
      <c r="H32" s="14">
        <v>959</v>
      </c>
      <c r="I32" s="14">
        <v>61</v>
      </c>
      <c r="J32" s="16">
        <v>4</v>
      </c>
      <c r="K32" s="16">
        <v>2</v>
      </c>
    </row>
    <row r="33" spans="1:11" x14ac:dyDescent="0.2">
      <c r="A33" s="10" t="s">
        <v>244</v>
      </c>
      <c r="B33" s="14">
        <v>10334</v>
      </c>
      <c r="C33" s="14">
        <v>59</v>
      </c>
      <c r="D33" s="14">
        <v>1894</v>
      </c>
      <c r="E33" s="14">
        <v>3653</v>
      </c>
      <c r="F33" s="14">
        <v>2807</v>
      </c>
      <c r="G33" s="14">
        <v>1538</v>
      </c>
      <c r="H33" s="14">
        <v>338</v>
      </c>
      <c r="I33" s="14">
        <v>42</v>
      </c>
      <c r="J33" s="16">
        <v>3</v>
      </c>
      <c r="K33" s="16">
        <v>0</v>
      </c>
    </row>
    <row r="34" spans="1:11" x14ac:dyDescent="0.2">
      <c r="A34" s="10" t="s">
        <v>165</v>
      </c>
      <c r="B34" s="14">
        <v>6018</v>
      </c>
      <c r="C34" s="14">
        <v>39</v>
      </c>
      <c r="D34" s="14">
        <v>348</v>
      </c>
      <c r="E34" s="14">
        <v>985</v>
      </c>
      <c r="F34" s="14">
        <v>2278</v>
      </c>
      <c r="G34" s="14">
        <v>1842</v>
      </c>
      <c r="H34" s="14">
        <v>476</v>
      </c>
      <c r="I34" s="14">
        <v>42</v>
      </c>
      <c r="J34" s="16">
        <v>4</v>
      </c>
      <c r="K34" s="16">
        <v>4</v>
      </c>
    </row>
    <row r="35" spans="1:11" s="23" customFormat="1" ht="15.75" x14ac:dyDescent="0.25">
      <c r="A35" s="21" t="s">
        <v>168</v>
      </c>
      <c r="B35" s="22">
        <v>1977</v>
      </c>
      <c r="C35" s="22">
        <v>1</v>
      </c>
      <c r="D35" s="22">
        <v>41</v>
      </c>
      <c r="E35" s="22">
        <v>180</v>
      </c>
      <c r="F35" s="22">
        <v>742</v>
      </c>
      <c r="G35" s="22">
        <v>789</v>
      </c>
      <c r="H35" s="22">
        <v>198</v>
      </c>
      <c r="I35" s="22">
        <v>24</v>
      </c>
      <c r="J35" s="93">
        <v>2</v>
      </c>
      <c r="K35" s="93">
        <v>0</v>
      </c>
    </row>
    <row r="36" spans="1:11" x14ac:dyDescent="0.2">
      <c r="A36" s="10" t="s">
        <v>174</v>
      </c>
      <c r="B36" s="14">
        <v>1817</v>
      </c>
      <c r="C36" s="14">
        <v>0</v>
      </c>
      <c r="D36" s="14">
        <v>23</v>
      </c>
      <c r="E36" s="14">
        <v>126</v>
      </c>
      <c r="F36" s="14">
        <v>699</v>
      </c>
      <c r="G36" s="14">
        <v>759</v>
      </c>
      <c r="H36" s="14">
        <v>185</v>
      </c>
      <c r="I36" s="14">
        <v>23</v>
      </c>
      <c r="J36" s="16">
        <v>2</v>
      </c>
      <c r="K36" s="16">
        <v>0</v>
      </c>
    </row>
    <row r="37" spans="1:11" x14ac:dyDescent="0.2">
      <c r="A37" s="10" t="s">
        <v>176</v>
      </c>
      <c r="B37" s="14">
        <v>160</v>
      </c>
      <c r="C37" s="14">
        <v>1</v>
      </c>
      <c r="D37" s="14">
        <v>18</v>
      </c>
      <c r="E37" s="14">
        <v>54</v>
      </c>
      <c r="F37" s="14">
        <v>43</v>
      </c>
      <c r="G37" s="14">
        <v>30</v>
      </c>
      <c r="H37" s="14">
        <v>13</v>
      </c>
      <c r="I37" s="14">
        <v>1</v>
      </c>
      <c r="J37" s="16">
        <v>0</v>
      </c>
      <c r="K37" s="16">
        <v>0</v>
      </c>
    </row>
    <row r="38" spans="1:11" s="23" customFormat="1" ht="15.75" x14ac:dyDescent="0.25">
      <c r="A38" s="24" t="s">
        <v>245</v>
      </c>
      <c r="B38" s="25">
        <v>52</v>
      </c>
      <c r="C38" s="25">
        <v>1</v>
      </c>
      <c r="D38" s="25">
        <v>5</v>
      </c>
      <c r="E38" s="25">
        <v>13</v>
      </c>
      <c r="F38" s="25">
        <v>13</v>
      </c>
      <c r="G38" s="25">
        <v>16</v>
      </c>
      <c r="H38" s="25">
        <v>4</v>
      </c>
      <c r="I38" s="25">
        <v>0</v>
      </c>
      <c r="J38" s="94">
        <v>0</v>
      </c>
      <c r="K38" s="94">
        <v>0</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66"/>
  <sheetViews>
    <sheetView showGridLines="0" workbookViewId="0"/>
  </sheetViews>
  <sheetFormatPr defaultColWidth="11.5546875" defaultRowHeight="15" x14ac:dyDescent="0.2"/>
  <cols>
    <col min="1" max="1" width="20.6640625" customWidth="1"/>
    <col min="2" max="2" width="35.21875" customWidth="1"/>
    <col min="3" max="3" width="21.33203125" customWidth="1"/>
    <col min="4" max="4" width="11.6640625" customWidth="1"/>
    <col min="5" max="13" width="16" customWidth="1"/>
  </cols>
  <sheetData>
    <row r="1" spans="1:13" ht="20.25" x14ac:dyDescent="0.3">
      <c r="A1" s="6" t="s">
        <v>449</v>
      </c>
      <c r="B1" s="6"/>
    </row>
    <row r="2" spans="1:13" x14ac:dyDescent="0.2">
      <c r="A2" t="s">
        <v>94</v>
      </c>
    </row>
    <row r="3" spans="1:13" x14ac:dyDescent="0.2">
      <c r="A3" t="s">
        <v>450</v>
      </c>
    </row>
    <row r="4" spans="1:13" x14ac:dyDescent="0.2">
      <c r="A4" t="s">
        <v>217</v>
      </c>
    </row>
    <row r="5" spans="1:13" x14ac:dyDescent="0.2">
      <c r="A5" t="s">
        <v>218</v>
      </c>
    </row>
    <row r="6" spans="1:13" ht="92.25" x14ac:dyDescent="0.25">
      <c r="A6" s="87" t="s">
        <v>451</v>
      </c>
      <c r="B6" s="89" t="s">
        <v>452</v>
      </c>
      <c r="C6" s="89" t="s">
        <v>453</v>
      </c>
      <c r="D6" s="88" t="s">
        <v>454</v>
      </c>
      <c r="E6" s="88" t="s">
        <v>455</v>
      </c>
      <c r="F6" s="88" t="s">
        <v>456</v>
      </c>
      <c r="G6" s="88" t="s">
        <v>457</v>
      </c>
      <c r="H6" s="88" t="s">
        <v>458</v>
      </c>
      <c r="I6" s="88" t="s">
        <v>459</v>
      </c>
      <c r="J6" s="88" t="s">
        <v>460</v>
      </c>
      <c r="K6" s="88" t="s">
        <v>461</v>
      </c>
      <c r="L6" s="88" t="s">
        <v>462</v>
      </c>
      <c r="M6" s="88" t="s">
        <v>463</v>
      </c>
    </row>
    <row r="7" spans="1:13" s="23" customFormat="1" ht="15.75" x14ac:dyDescent="0.25">
      <c r="A7" s="21" t="s">
        <v>464</v>
      </c>
      <c r="B7" s="93" t="s">
        <v>465</v>
      </c>
      <c r="C7" s="93" t="s">
        <v>466</v>
      </c>
      <c r="D7" s="22">
        <v>585396</v>
      </c>
      <c r="E7" s="22">
        <v>382732</v>
      </c>
      <c r="F7" s="22">
        <v>202612</v>
      </c>
      <c r="G7" s="92">
        <v>34.6</v>
      </c>
      <c r="H7" s="22">
        <v>43776</v>
      </c>
      <c r="I7" s="22">
        <v>26841</v>
      </c>
      <c r="J7" s="22">
        <v>11829</v>
      </c>
      <c r="K7" s="22">
        <v>42589</v>
      </c>
      <c r="L7" s="22">
        <v>91265</v>
      </c>
      <c r="M7" s="22">
        <v>13153</v>
      </c>
    </row>
    <row r="8" spans="1:13" s="23" customFormat="1" ht="15.75" x14ac:dyDescent="0.25">
      <c r="A8" s="21" t="s">
        <v>467</v>
      </c>
      <c r="B8" s="93" t="s">
        <v>468</v>
      </c>
      <c r="C8" s="93" t="s">
        <v>466</v>
      </c>
      <c r="D8" s="22">
        <v>585270</v>
      </c>
      <c r="E8" s="22">
        <v>382666</v>
      </c>
      <c r="F8" s="22">
        <v>202552</v>
      </c>
      <c r="G8" s="92">
        <v>34.6</v>
      </c>
      <c r="H8" s="22">
        <v>43756</v>
      </c>
      <c r="I8" s="22">
        <v>26835</v>
      </c>
      <c r="J8" s="22">
        <v>11827</v>
      </c>
      <c r="K8" s="22">
        <v>42574</v>
      </c>
      <c r="L8" s="22">
        <v>91252</v>
      </c>
      <c r="M8" s="22">
        <v>13143</v>
      </c>
    </row>
    <row r="9" spans="1:13" s="23" customFormat="1" ht="15.75" x14ac:dyDescent="0.25">
      <c r="A9" s="21" t="s">
        <v>469</v>
      </c>
      <c r="B9" s="93" t="s">
        <v>470</v>
      </c>
      <c r="C9" s="93" t="s">
        <v>466</v>
      </c>
      <c r="D9" s="22">
        <v>558988</v>
      </c>
      <c r="E9" s="22">
        <v>360763</v>
      </c>
      <c r="F9" s="22">
        <v>198176</v>
      </c>
      <c r="G9" s="92">
        <v>35.5</v>
      </c>
      <c r="H9" s="22">
        <v>42755</v>
      </c>
      <c r="I9" s="22">
        <v>26208</v>
      </c>
      <c r="J9" s="22">
        <v>11655</v>
      </c>
      <c r="K9" s="22">
        <v>41516</v>
      </c>
      <c r="L9" s="22">
        <v>89324</v>
      </c>
      <c r="M9" s="22">
        <v>12926</v>
      </c>
    </row>
    <row r="10" spans="1:13" s="23" customFormat="1" ht="15.75" x14ac:dyDescent="0.25">
      <c r="A10" s="21" t="s">
        <v>471</v>
      </c>
      <c r="B10" s="93" t="s">
        <v>472</v>
      </c>
      <c r="C10" s="93" t="s">
        <v>473</v>
      </c>
      <c r="D10" s="22">
        <v>24154</v>
      </c>
      <c r="E10" s="22">
        <v>19166</v>
      </c>
      <c r="F10" s="22">
        <v>4987</v>
      </c>
      <c r="G10" s="92">
        <v>20.6</v>
      </c>
      <c r="H10" s="22">
        <v>835</v>
      </c>
      <c r="I10" s="22">
        <v>500</v>
      </c>
      <c r="J10" s="22">
        <v>182</v>
      </c>
      <c r="K10" s="22">
        <v>1628</v>
      </c>
      <c r="L10" s="22">
        <v>2138</v>
      </c>
      <c r="M10" s="22">
        <v>204</v>
      </c>
    </row>
    <row r="11" spans="1:13" x14ac:dyDescent="0.2">
      <c r="A11" s="10" t="s">
        <v>474</v>
      </c>
      <c r="B11" s="16" t="s">
        <v>475</v>
      </c>
      <c r="C11" s="16" t="s">
        <v>476</v>
      </c>
      <c r="D11" s="14">
        <v>4369</v>
      </c>
      <c r="E11" s="14">
        <v>3882</v>
      </c>
      <c r="F11" s="14">
        <v>487</v>
      </c>
      <c r="G11" s="18">
        <v>11.1</v>
      </c>
      <c r="H11" s="14">
        <v>129</v>
      </c>
      <c r="I11" s="14">
        <v>66</v>
      </c>
      <c r="J11" s="14">
        <v>22</v>
      </c>
      <c r="K11" s="14">
        <v>117</v>
      </c>
      <c r="L11" s="14">
        <v>185</v>
      </c>
      <c r="M11" s="14">
        <v>34</v>
      </c>
    </row>
    <row r="12" spans="1:13" x14ac:dyDescent="0.2">
      <c r="A12" s="10" t="s">
        <v>477</v>
      </c>
      <c r="B12" s="16" t="s">
        <v>478</v>
      </c>
      <c r="C12" s="16" t="s">
        <v>476</v>
      </c>
      <c r="D12" s="14">
        <v>1058</v>
      </c>
      <c r="E12" s="14">
        <v>823</v>
      </c>
      <c r="F12" s="14">
        <v>235</v>
      </c>
      <c r="G12" s="18">
        <v>22.2</v>
      </c>
      <c r="H12" s="14">
        <v>48</v>
      </c>
      <c r="I12" s="14">
        <v>29</v>
      </c>
      <c r="J12" s="14">
        <v>15</v>
      </c>
      <c r="K12" s="14">
        <v>64</v>
      </c>
      <c r="L12" s="14">
        <v>99</v>
      </c>
      <c r="M12" s="14">
        <v>9</v>
      </c>
    </row>
    <row r="13" spans="1:13" x14ac:dyDescent="0.2">
      <c r="A13" s="10" t="s">
        <v>479</v>
      </c>
      <c r="B13" s="16" t="s">
        <v>480</v>
      </c>
      <c r="C13" s="16" t="s">
        <v>476</v>
      </c>
      <c r="D13" s="14">
        <v>984</v>
      </c>
      <c r="E13" s="14">
        <v>850</v>
      </c>
      <c r="F13" s="14">
        <v>134</v>
      </c>
      <c r="G13" s="18">
        <v>13.6</v>
      </c>
      <c r="H13" s="14">
        <v>18</v>
      </c>
      <c r="I13" s="14">
        <v>7</v>
      </c>
      <c r="J13" s="14">
        <v>4</v>
      </c>
      <c r="K13" s="14">
        <v>55</v>
      </c>
      <c r="L13" s="14">
        <v>51</v>
      </c>
      <c r="M13" s="14">
        <v>6</v>
      </c>
    </row>
    <row r="14" spans="1:13" x14ac:dyDescent="0.2">
      <c r="A14" s="10" t="s">
        <v>481</v>
      </c>
      <c r="B14" s="16" t="s">
        <v>482</v>
      </c>
      <c r="C14" s="16" t="s">
        <v>476</v>
      </c>
      <c r="D14" s="14">
        <v>1810</v>
      </c>
      <c r="E14" s="14">
        <v>1104</v>
      </c>
      <c r="F14" s="14">
        <v>706</v>
      </c>
      <c r="G14" s="18">
        <v>39</v>
      </c>
      <c r="H14" s="14">
        <v>104</v>
      </c>
      <c r="I14" s="14">
        <v>90</v>
      </c>
      <c r="J14" s="14">
        <v>12</v>
      </c>
      <c r="K14" s="14">
        <v>261</v>
      </c>
      <c r="L14" s="14">
        <v>324</v>
      </c>
      <c r="M14" s="14">
        <v>5</v>
      </c>
    </row>
    <row r="15" spans="1:13" x14ac:dyDescent="0.2">
      <c r="A15" s="10" t="s">
        <v>483</v>
      </c>
      <c r="B15" s="16" t="s">
        <v>484</v>
      </c>
      <c r="C15" s="16" t="s">
        <v>476</v>
      </c>
      <c r="D15" s="14">
        <v>2373</v>
      </c>
      <c r="E15" s="14">
        <v>2162</v>
      </c>
      <c r="F15" s="14">
        <v>211</v>
      </c>
      <c r="G15" s="18">
        <v>8.9</v>
      </c>
      <c r="H15" s="14">
        <v>57</v>
      </c>
      <c r="I15" s="14">
        <v>30</v>
      </c>
      <c r="J15" s="14">
        <v>10</v>
      </c>
      <c r="K15" s="14">
        <v>54</v>
      </c>
      <c r="L15" s="14">
        <v>68</v>
      </c>
      <c r="M15" s="14">
        <v>22</v>
      </c>
    </row>
    <row r="16" spans="1:13" x14ac:dyDescent="0.2">
      <c r="A16" s="10" t="s">
        <v>485</v>
      </c>
      <c r="B16" s="16" t="s">
        <v>486</v>
      </c>
      <c r="C16" s="16" t="s">
        <v>476</v>
      </c>
      <c r="D16" s="14">
        <v>1151</v>
      </c>
      <c r="E16" s="14">
        <v>1062</v>
      </c>
      <c r="F16" s="14">
        <v>89</v>
      </c>
      <c r="G16" s="18">
        <v>7.7</v>
      </c>
      <c r="H16" s="14">
        <v>24</v>
      </c>
      <c r="I16" s="14">
        <v>13</v>
      </c>
      <c r="J16" s="14">
        <v>4</v>
      </c>
      <c r="K16" s="14">
        <v>31</v>
      </c>
      <c r="L16" s="14">
        <v>28</v>
      </c>
      <c r="M16" s="14">
        <v>2</v>
      </c>
    </row>
    <row r="17" spans="1:13" x14ac:dyDescent="0.2">
      <c r="A17" s="10" t="s">
        <v>487</v>
      </c>
      <c r="B17" s="16" t="s">
        <v>488</v>
      </c>
      <c r="C17" s="16" t="s">
        <v>476</v>
      </c>
      <c r="D17" s="14">
        <v>1860</v>
      </c>
      <c r="E17" s="14">
        <v>1484</v>
      </c>
      <c r="F17" s="14">
        <v>376</v>
      </c>
      <c r="G17" s="18">
        <v>20.2</v>
      </c>
      <c r="H17" s="14">
        <v>32</v>
      </c>
      <c r="I17" s="14">
        <v>18</v>
      </c>
      <c r="J17" s="14">
        <v>13</v>
      </c>
      <c r="K17" s="14">
        <v>157</v>
      </c>
      <c r="L17" s="14">
        <v>160</v>
      </c>
      <c r="M17" s="14">
        <v>14</v>
      </c>
    </row>
    <row r="18" spans="1:13" s="23" customFormat="1" ht="15.75" x14ac:dyDescent="0.25">
      <c r="A18" s="21" t="s">
        <v>489</v>
      </c>
      <c r="B18" s="93" t="s">
        <v>490</v>
      </c>
      <c r="C18" s="93" t="s">
        <v>491</v>
      </c>
      <c r="D18" s="22">
        <v>10549</v>
      </c>
      <c r="E18" s="22">
        <v>7799</v>
      </c>
      <c r="F18" s="22">
        <v>2749</v>
      </c>
      <c r="G18" s="92">
        <v>26.1</v>
      </c>
      <c r="H18" s="22">
        <v>423</v>
      </c>
      <c r="I18" s="22">
        <v>247</v>
      </c>
      <c r="J18" s="22">
        <v>102</v>
      </c>
      <c r="K18" s="22">
        <v>889</v>
      </c>
      <c r="L18" s="22">
        <v>1223</v>
      </c>
      <c r="M18" s="22">
        <v>112</v>
      </c>
    </row>
    <row r="19" spans="1:13" x14ac:dyDescent="0.2">
      <c r="A19" s="10" t="s">
        <v>492</v>
      </c>
      <c r="B19" s="16" t="s">
        <v>493</v>
      </c>
      <c r="C19" s="16" t="s">
        <v>494</v>
      </c>
      <c r="D19" s="14">
        <v>1866</v>
      </c>
      <c r="E19" s="14">
        <v>1363</v>
      </c>
      <c r="F19" s="14">
        <v>503</v>
      </c>
      <c r="G19" s="18">
        <v>27</v>
      </c>
      <c r="H19" s="14">
        <v>88</v>
      </c>
      <c r="I19" s="14">
        <v>49</v>
      </c>
      <c r="J19" s="14">
        <v>29</v>
      </c>
      <c r="K19" s="14">
        <v>164</v>
      </c>
      <c r="L19" s="14">
        <v>195</v>
      </c>
      <c r="M19" s="14">
        <v>27</v>
      </c>
    </row>
    <row r="20" spans="1:13" x14ac:dyDescent="0.2">
      <c r="A20" s="10" t="s">
        <v>495</v>
      </c>
      <c r="B20" s="16" t="s">
        <v>496</v>
      </c>
      <c r="C20" s="16" t="s">
        <v>494</v>
      </c>
      <c r="D20" s="14">
        <v>3018</v>
      </c>
      <c r="E20" s="14">
        <v>1829</v>
      </c>
      <c r="F20" s="14">
        <v>1188</v>
      </c>
      <c r="G20" s="18">
        <v>39.4</v>
      </c>
      <c r="H20" s="14">
        <v>199</v>
      </c>
      <c r="I20" s="14">
        <v>118</v>
      </c>
      <c r="J20" s="14">
        <v>35</v>
      </c>
      <c r="K20" s="14">
        <v>306</v>
      </c>
      <c r="L20" s="14">
        <v>606</v>
      </c>
      <c r="M20" s="14">
        <v>42</v>
      </c>
    </row>
    <row r="21" spans="1:13" x14ac:dyDescent="0.2">
      <c r="A21" s="10" t="s">
        <v>497</v>
      </c>
      <c r="B21" s="16" t="s">
        <v>498</v>
      </c>
      <c r="C21" s="16" t="s">
        <v>494</v>
      </c>
      <c r="D21" s="14">
        <v>1838</v>
      </c>
      <c r="E21" s="14">
        <v>1549</v>
      </c>
      <c r="F21" s="14">
        <v>289</v>
      </c>
      <c r="G21" s="18">
        <v>15.7</v>
      </c>
      <c r="H21" s="14">
        <v>67</v>
      </c>
      <c r="I21" s="14">
        <v>29</v>
      </c>
      <c r="J21" s="14">
        <v>12</v>
      </c>
      <c r="K21" s="14">
        <v>71</v>
      </c>
      <c r="L21" s="14">
        <v>114</v>
      </c>
      <c r="M21" s="14">
        <v>25</v>
      </c>
    </row>
    <row r="22" spans="1:13" x14ac:dyDescent="0.2">
      <c r="A22" s="10" t="s">
        <v>499</v>
      </c>
      <c r="B22" s="16" t="s">
        <v>500</v>
      </c>
      <c r="C22" s="16" t="s">
        <v>494</v>
      </c>
      <c r="D22" s="14">
        <v>1281</v>
      </c>
      <c r="E22" s="14">
        <v>1094</v>
      </c>
      <c r="F22" s="14">
        <v>187</v>
      </c>
      <c r="G22" s="18">
        <v>14.6</v>
      </c>
      <c r="H22" s="14">
        <v>19</v>
      </c>
      <c r="I22" s="14">
        <v>18</v>
      </c>
      <c r="J22" s="14">
        <v>11</v>
      </c>
      <c r="K22" s="14">
        <v>40</v>
      </c>
      <c r="L22" s="14">
        <v>107</v>
      </c>
      <c r="M22" s="14">
        <v>10</v>
      </c>
    </row>
    <row r="23" spans="1:13" x14ac:dyDescent="0.2">
      <c r="A23" s="10" t="s">
        <v>501</v>
      </c>
      <c r="B23" s="16" t="s">
        <v>502</v>
      </c>
      <c r="C23" s="16" t="s">
        <v>494</v>
      </c>
      <c r="D23" s="14">
        <v>2546</v>
      </c>
      <c r="E23" s="14">
        <v>1964</v>
      </c>
      <c r="F23" s="14">
        <v>582</v>
      </c>
      <c r="G23" s="18">
        <v>22.9</v>
      </c>
      <c r="H23" s="14">
        <v>50</v>
      </c>
      <c r="I23" s="14">
        <v>33</v>
      </c>
      <c r="J23" s="14">
        <v>15</v>
      </c>
      <c r="K23" s="14">
        <v>308</v>
      </c>
      <c r="L23" s="14">
        <v>201</v>
      </c>
      <c r="M23" s="14">
        <v>8</v>
      </c>
    </row>
    <row r="24" spans="1:13" s="23" customFormat="1" ht="15.75" x14ac:dyDescent="0.25">
      <c r="A24" s="21" t="s">
        <v>503</v>
      </c>
      <c r="B24" s="93" t="s">
        <v>504</v>
      </c>
      <c r="C24" s="93" t="s">
        <v>473</v>
      </c>
      <c r="D24" s="22">
        <v>73656</v>
      </c>
      <c r="E24" s="22">
        <v>51665</v>
      </c>
      <c r="F24" s="22">
        <v>21982</v>
      </c>
      <c r="G24" s="92">
        <v>29.8</v>
      </c>
      <c r="H24" s="22">
        <v>3660</v>
      </c>
      <c r="I24" s="22">
        <v>2198</v>
      </c>
      <c r="J24" s="22">
        <v>633</v>
      </c>
      <c r="K24" s="22">
        <v>5396</v>
      </c>
      <c r="L24" s="22">
        <v>11494</v>
      </c>
      <c r="M24" s="22">
        <v>799</v>
      </c>
    </row>
    <row r="25" spans="1:13" x14ac:dyDescent="0.2">
      <c r="A25" s="10" t="s">
        <v>505</v>
      </c>
      <c r="B25" s="16" t="s">
        <v>506</v>
      </c>
      <c r="C25" s="16" t="s">
        <v>476</v>
      </c>
      <c r="D25" s="14">
        <v>1953</v>
      </c>
      <c r="E25" s="14">
        <v>1170</v>
      </c>
      <c r="F25" s="14">
        <v>783</v>
      </c>
      <c r="G25" s="18">
        <v>40.1</v>
      </c>
      <c r="H25" s="14">
        <v>79</v>
      </c>
      <c r="I25" s="14">
        <v>52</v>
      </c>
      <c r="J25" s="14">
        <v>7</v>
      </c>
      <c r="K25" s="14">
        <v>80</v>
      </c>
      <c r="L25" s="14">
        <v>614</v>
      </c>
      <c r="M25" s="14">
        <v>3</v>
      </c>
    </row>
    <row r="26" spans="1:13" x14ac:dyDescent="0.2">
      <c r="A26" s="10" t="s">
        <v>507</v>
      </c>
      <c r="B26" s="16" t="s">
        <v>508</v>
      </c>
      <c r="C26" s="16" t="s">
        <v>476</v>
      </c>
      <c r="D26" s="14">
        <v>1391</v>
      </c>
      <c r="E26" s="14">
        <v>1073</v>
      </c>
      <c r="F26" s="14">
        <v>318</v>
      </c>
      <c r="G26" s="18">
        <v>22.9</v>
      </c>
      <c r="H26" s="14">
        <v>82</v>
      </c>
      <c r="I26" s="14">
        <v>64</v>
      </c>
      <c r="J26" s="14">
        <v>8</v>
      </c>
      <c r="K26" s="14">
        <v>67</v>
      </c>
      <c r="L26" s="14">
        <v>154</v>
      </c>
      <c r="M26" s="14">
        <v>7</v>
      </c>
    </row>
    <row r="27" spans="1:13" x14ac:dyDescent="0.2">
      <c r="A27" s="10" t="s">
        <v>509</v>
      </c>
      <c r="B27" s="16" t="s">
        <v>510</v>
      </c>
      <c r="C27" s="16" t="s">
        <v>476</v>
      </c>
      <c r="D27" s="14">
        <v>3585</v>
      </c>
      <c r="E27" s="14">
        <v>2898</v>
      </c>
      <c r="F27" s="14">
        <v>687</v>
      </c>
      <c r="G27" s="18">
        <v>19.2</v>
      </c>
      <c r="H27" s="14">
        <v>241</v>
      </c>
      <c r="I27" s="14">
        <v>164</v>
      </c>
      <c r="J27" s="14">
        <v>30</v>
      </c>
      <c r="K27" s="14">
        <v>127</v>
      </c>
      <c r="L27" s="14">
        <v>249</v>
      </c>
      <c r="M27" s="14">
        <v>40</v>
      </c>
    </row>
    <row r="28" spans="1:13" x14ac:dyDescent="0.2">
      <c r="A28" s="10" t="s">
        <v>511</v>
      </c>
      <c r="B28" s="16" t="s">
        <v>512</v>
      </c>
      <c r="C28" s="16" t="s">
        <v>476</v>
      </c>
      <c r="D28" s="14">
        <v>2949</v>
      </c>
      <c r="E28" s="14">
        <v>2465</v>
      </c>
      <c r="F28" s="14">
        <v>484</v>
      </c>
      <c r="G28" s="18">
        <v>16.399999999999999</v>
      </c>
      <c r="H28" s="14">
        <v>145</v>
      </c>
      <c r="I28" s="14">
        <v>81</v>
      </c>
      <c r="J28" s="14">
        <v>36</v>
      </c>
      <c r="K28" s="14">
        <v>110</v>
      </c>
      <c r="L28" s="14">
        <v>161</v>
      </c>
      <c r="M28" s="14">
        <v>32</v>
      </c>
    </row>
    <row r="29" spans="1:13" x14ac:dyDescent="0.2">
      <c r="A29" s="10" t="s">
        <v>513</v>
      </c>
      <c r="B29" s="16" t="s">
        <v>514</v>
      </c>
      <c r="C29" s="16" t="s">
        <v>476</v>
      </c>
      <c r="D29" s="14">
        <v>1059</v>
      </c>
      <c r="E29" s="14">
        <v>928</v>
      </c>
      <c r="F29" s="14">
        <v>131</v>
      </c>
      <c r="G29" s="18">
        <v>12.4</v>
      </c>
      <c r="H29" s="14">
        <v>54</v>
      </c>
      <c r="I29" s="14">
        <v>40</v>
      </c>
      <c r="J29" s="14">
        <v>7</v>
      </c>
      <c r="K29" s="14">
        <v>36</v>
      </c>
      <c r="L29" s="14">
        <v>26</v>
      </c>
      <c r="M29" s="14">
        <v>8</v>
      </c>
    </row>
    <row r="30" spans="1:13" x14ac:dyDescent="0.2">
      <c r="A30" s="10" t="s">
        <v>515</v>
      </c>
      <c r="B30" s="16" t="s">
        <v>516</v>
      </c>
      <c r="C30" s="16" t="s">
        <v>476</v>
      </c>
      <c r="D30" s="14">
        <v>1799</v>
      </c>
      <c r="E30" s="14">
        <v>1383</v>
      </c>
      <c r="F30" s="14">
        <v>416</v>
      </c>
      <c r="G30" s="18">
        <v>23.1</v>
      </c>
      <c r="H30" s="14">
        <v>112</v>
      </c>
      <c r="I30" s="14">
        <v>89</v>
      </c>
      <c r="J30" s="14">
        <v>17</v>
      </c>
      <c r="K30" s="14">
        <v>93</v>
      </c>
      <c r="L30" s="14">
        <v>170</v>
      </c>
      <c r="M30" s="14">
        <v>24</v>
      </c>
    </row>
    <row r="31" spans="1:13" x14ac:dyDescent="0.2">
      <c r="A31" s="10" t="s">
        <v>517</v>
      </c>
      <c r="B31" s="16" t="s">
        <v>518</v>
      </c>
      <c r="C31" s="16" t="s">
        <v>476</v>
      </c>
      <c r="D31" s="14">
        <v>2222</v>
      </c>
      <c r="E31" s="14">
        <v>1926</v>
      </c>
      <c r="F31" s="14">
        <v>296</v>
      </c>
      <c r="G31" s="18">
        <v>13.3</v>
      </c>
      <c r="H31" s="14">
        <v>70</v>
      </c>
      <c r="I31" s="14">
        <v>54</v>
      </c>
      <c r="J31" s="14">
        <v>7</v>
      </c>
      <c r="K31" s="14">
        <v>91</v>
      </c>
      <c r="L31" s="14">
        <v>112</v>
      </c>
      <c r="M31" s="14">
        <v>16</v>
      </c>
    </row>
    <row r="32" spans="1:13" x14ac:dyDescent="0.2">
      <c r="A32" s="10" t="s">
        <v>519</v>
      </c>
      <c r="B32" s="16" t="s">
        <v>520</v>
      </c>
      <c r="C32" s="16" t="s">
        <v>476</v>
      </c>
      <c r="D32" s="14">
        <v>1727</v>
      </c>
      <c r="E32" s="14">
        <v>1529</v>
      </c>
      <c r="F32" s="14">
        <v>198</v>
      </c>
      <c r="G32" s="18">
        <v>11.5</v>
      </c>
      <c r="H32" s="14">
        <v>51</v>
      </c>
      <c r="I32" s="14">
        <v>34</v>
      </c>
      <c r="J32" s="14">
        <v>7</v>
      </c>
      <c r="K32" s="14">
        <v>49</v>
      </c>
      <c r="L32" s="14">
        <v>74</v>
      </c>
      <c r="M32" s="14">
        <v>17</v>
      </c>
    </row>
    <row r="33" spans="1:13" s="23" customFormat="1" ht="15.75" x14ac:dyDescent="0.25">
      <c r="A33" s="21" t="s">
        <v>521</v>
      </c>
      <c r="B33" s="93" t="s">
        <v>522</v>
      </c>
      <c r="C33" s="93" t="s">
        <v>491</v>
      </c>
      <c r="D33" s="22">
        <v>32180</v>
      </c>
      <c r="E33" s="22">
        <v>19344</v>
      </c>
      <c r="F33" s="22">
        <v>12831</v>
      </c>
      <c r="G33" s="92">
        <v>39.9</v>
      </c>
      <c r="H33" s="22">
        <v>1671</v>
      </c>
      <c r="I33" s="22">
        <v>870</v>
      </c>
      <c r="J33" s="22">
        <v>331</v>
      </c>
      <c r="K33" s="22">
        <v>3519</v>
      </c>
      <c r="L33" s="22">
        <v>6939</v>
      </c>
      <c r="M33" s="22">
        <v>371</v>
      </c>
    </row>
    <row r="34" spans="1:13" x14ac:dyDescent="0.2">
      <c r="A34" s="10" t="s">
        <v>523</v>
      </c>
      <c r="B34" s="16" t="s">
        <v>524</v>
      </c>
      <c r="C34" s="16" t="s">
        <v>494</v>
      </c>
      <c r="D34" s="14">
        <v>3632</v>
      </c>
      <c r="E34" s="14">
        <v>2013</v>
      </c>
      <c r="F34" s="14">
        <v>1619</v>
      </c>
      <c r="G34" s="18">
        <v>44.6</v>
      </c>
      <c r="H34" s="14">
        <v>160</v>
      </c>
      <c r="I34" s="14">
        <v>87</v>
      </c>
      <c r="J34" s="14">
        <v>23</v>
      </c>
      <c r="K34" s="14">
        <v>427</v>
      </c>
      <c r="L34" s="14">
        <v>994</v>
      </c>
      <c r="M34" s="14">
        <v>15</v>
      </c>
    </row>
    <row r="35" spans="1:13" x14ac:dyDescent="0.2">
      <c r="A35" s="10" t="s">
        <v>525</v>
      </c>
      <c r="B35" s="16" t="s">
        <v>526</v>
      </c>
      <c r="C35" s="16" t="s">
        <v>494</v>
      </c>
      <c r="D35" s="14">
        <v>2060</v>
      </c>
      <c r="E35" s="14">
        <v>1422</v>
      </c>
      <c r="F35" s="14">
        <v>638</v>
      </c>
      <c r="G35" s="18">
        <v>31</v>
      </c>
      <c r="H35" s="14">
        <v>82</v>
      </c>
      <c r="I35" s="14">
        <v>40</v>
      </c>
      <c r="J35" s="14">
        <v>33</v>
      </c>
      <c r="K35" s="14">
        <v>157</v>
      </c>
      <c r="L35" s="14">
        <v>353</v>
      </c>
      <c r="M35" s="14">
        <v>13</v>
      </c>
    </row>
    <row r="36" spans="1:13" x14ac:dyDescent="0.2">
      <c r="A36" s="10" t="s">
        <v>527</v>
      </c>
      <c r="B36" s="16" t="s">
        <v>528</v>
      </c>
      <c r="C36" s="16" t="s">
        <v>494</v>
      </c>
      <c r="D36" s="14">
        <v>6783</v>
      </c>
      <c r="E36" s="14">
        <v>2770</v>
      </c>
      <c r="F36" s="14">
        <v>4011</v>
      </c>
      <c r="G36" s="18">
        <v>59.1</v>
      </c>
      <c r="H36" s="14">
        <v>423</v>
      </c>
      <c r="I36" s="14">
        <v>186</v>
      </c>
      <c r="J36" s="14">
        <v>77</v>
      </c>
      <c r="K36" s="14">
        <v>1141</v>
      </c>
      <c r="L36" s="14">
        <v>2267</v>
      </c>
      <c r="M36" s="14">
        <v>103</v>
      </c>
    </row>
    <row r="37" spans="1:13" x14ac:dyDescent="0.2">
      <c r="A37" s="10" t="s">
        <v>529</v>
      </c>
      <c r="B37" s="16" t="s">
        <v>530</v>
      </c>
      <c r="C37" s="16" t="s">
        <v>494</v>
      </c>
      <c r="D37" s="14">
        <v>3158</v>
      </c>
      <c r="E37" s="14">
        <v>1841</v>
      </c>
      <c r="F37" s="14">
        <v>1317</v>
      </c>
      <c r="G37" s="18">
        <v>41.7</v>
      </c>
      <c r="H37" s="14">
        <v>163</v>
      </c>
      <c r="I37" s="14">
        <v>111</v>
      </c>
      <c r="J37" s="14">
        <v>14</v>
      </c>
      <c r="K37" s="14">
        <v>231</v>
      </c>
      <c r="L37" s="14">
        <v>894</v>
      </c>
      <c r="M37" s="14">
        <v>15</v>
      </c>
    </row>
    <row r="38" spans="1:13" x14ac:dyDescent="0.2">
      <c r="A38" s="10" t="s">
        <v>531</v>
      </c>
      <c r="B38" s="16" t="s">
        <v>532</v>
      </c>
      <c r="C38" s="16" t="s">
        <v>494</v>
      </c>
      <c r="D38" s="14">
        <v>2694</v>
      </c>
      <c r="E38" s="14">
        <v>1627</v>
      </c>
      <c r="F38" s="14">
        <v>1066</v>
      </c>
      <c r="G38" s="18">
        <v>39.6</v>
      </c>
      <c r="H38" s="14">
        <v>104</v>
      </c>
      <c r="I38" s="14">
        <v>57</v>
      </c>
      <c r="J38" s="14">
        <v>26</v>
      </c>
      <c r="K38" s="14">
        <v>308</v>
      </c>
      <c r="L38" s="14">
        <v>615</v>
      </c>
      <c r="M38" s="14">
        <v>13</v>
      </c>
    </row>
    <row r="39" spans="1:13" x14ac:dyDescent="0.2">
      <c r="A39" s="10" t="s">
        <v>533</v>
      </c>
      <c r="B39" s="16" t="s">
        <v>534</v>
      </c>
      <c r="C39" s="16" t="s">
        <v>494</v>
      </c>
      <c r="D39" s="14">
        <v>3347</v>
      </c>
      <c r="E39" s="14">
        <v>1855</v>
      </c>
      <c r="F39" s="14">
        <v>1492</v>
      </c>
      <c r="G39" s="18">
        <v>44.6</v>
      </c>
      <c r="H39" s="14">
        <v>267</v>
      </c>
      <c r="I39" s="14">
        <v>134</v>
      </c>
      <c r="J39" s="14">
        <v>69</v>
      </c>
      <c r="K39" s="14">
        <v>553</v>
      </c>
      <c r="L39" s="14">
        <v>517</v>
      </c>
      <c r="M39" s="14">
        <v>86</v>
      </c>
    </row>
    <row r="40" spans="1:13" x14ac:dyDescent="0.2">
      <c r="A40" s="10" t="s">
        <v>535</v>
      </c>
      <c r="B40" s="16" t="s">
        <v>536</v>
      </c>
      <c r="C40" s="16" t="s">
        <v>494</v>
      </c>
      <c r="D40" s="14">
        <v>2766</v>
      </c>
      <c r="E40" s="14">
        <v>2127</v>
      </c>
      <c r="F40" s="14">
        <v>639</v>
      </c>
      <c r="G40" s="18">
        <v>23.1</v>
      </c>
      <c r="H40" s="14">
        <v>119</v>
      </c>
      <c r="I40" s="14">
        <v>53</v>
      </c>
      <c r="J40" s="14">
        <v>24</v>
      </c>
      <c r="K40" s="14">
        <v>111</v>
      </c>
      <c r="L40" s="14">
        <v>348</v>
      </c>
      <c r="M40" s="14">
        <v>37</v>
      </c>
    </row>
    <row r="41" spans="1:13" x14ac:dyDescent="0.2">
      <c r="A41" s="10" t="s">
        <v>537</v>
      </c>
      <c r="B41" s="16" t="s">
        <v>538</v>
      </c>
      <c r="C41" s="16" t="s">
        <v>494</v>
      </c>
      <c r="D41" s="14">
        <v>2439</v>
      </c>
      <c r="E41" s="14">
        <v>1695</v>
      </c>
      <c r="F41" s="14">
        <v>743</v>
      </c>
      <c r="G41" s="18">
        <v>30.5</v>
      </c>
      <c r="H41" s="14">
        <v>95</v>
      </c>
      <c r="I41" s="14">
        <v>55</v>
      </c>
      <c r="J41" s="14">
        <v>19</v>
      </c>
      <c r="K41" s="14">
        <v>208</v>
      </c>
      <c r="L41" s="14">
        <v>407</v>
      </c>
      <c r="M41" s="14">
        <v>14</v>
      </c>
    </row>
    <row r="42" spans="1:13" x14ac:dyDescent="0.2">
      <c r="A42" s="10" t="s">
        <v>539</v>
      </c>
      <c r="B42" s="16" t="s">
        <v>540</v>
      </c>
      <c r="C42" s="16" t="s">
        <v>494</v>
      </c>
      <c r="D42" s="14">
        <v>2083</v>
      </c>
      <c r="E42" s="14">
        <v>1495</v>
      </c>
      <c r="F42" s="14">
        <v>588</v>
      </c>
      <c r="G42" s="18">
        <v>28.2</v>
      </c>
      <c r="H42" s="14">
        <v>97</v>
      </c>
      <c r="I42" s="14">
        <v>27</v>
      </c>
      <c r="J42" s="14">
        <v>19</v>
      </c>
      <c r="K42" s="14">
        <v>107</v>
      </c>
      <c r="L42" s="14">
        <v>320</v>
      </c>
      <c r="M42" s="14">
        <v>45</v>
      </c>
    </row>
    <row r="43" spans="1:13" x14ac:dyDescent="0.2">
      <c r="A43" s="10" t="s">
        <v>541</v>
      </c>
      <c r="B43" s="16" t="s">
        <v>542</v>
      </c>
      <c r="C43" s="16" t="s">
        <v>494</v>
      </c>
      <c r="D43" s="14">
        <v>3218</v>
      </c>
      <c r="E43" s="14">
        <v>2499</v>
      </c>
      <c r="F43" s="14">
        <v>718</v>
      </c>
      <c r="G43" s="18">
        <v>22.3</v>
      </c>
      <c r="H43" s="14">
        <v>161</v>
      </c>
      <c r="I43" s="14">
        <v>120</v>
      </c>
      <c r="J43" s="14">
        <v>27</v>
      </c>
      <c r="K43" s="14">
        <v>276</v>
      </c>
      <c r="L43" s="14">
        <v>224</v>
      </c>
      <c r="M43" s="14">
        <v>30</v>
      </c>
    </row>
    <row r="44" spans="1:13" s="23" customFormat="1" ht="15.75" x14ac:dyDescent="0.25">
      <c r="A44" s="21" t="s">
        <v>543</v>
      </c>
      <c r="B44" s="93" t="s">
        <v>544</v>
      </c>
      <c r="C44" s="93" t="s">
        <v>545</v>
      </c>
      <c r="D44" s="22">
        <v>11490</v>
      </c>
      <c r="E44" s="22">
        <v>8905</v>
      </c>
      <c r="F44" s="22">
        <v>2581</v>
      </c>
      <c r="G44" s="92">
        <v>22.5</v>
      </c>
      <c r="H44" s="22">
        <v>463</v>
      </c>
      <c r="I44" s="22">
        <v>311</v>
      </c>
      <c r="J44" s="22">
        <v>52</v>
      </c>
      <c r="K44" s="22">
        <v>378</v>
      </c>
      <c r="L44" s="22">
        <v>1593</v>
      </c>
      <c r="M44" s="22">
        <v>95</v>
      </c>
    </row>
    <row r="45" spans="1:13" x14ac:dyDescent="0.2">
      <c r="A45" s="10" t="s">
        <v>546</v>
      </c>
      <c r="B45" s="16" t="s">
        <v>547</v>
      </c>
      <c r="C45" s="16" t="s">
        <v>548</v>
      </c>
      <c r="D45" s="14">
        <v>1073</v>
      </c>
      <c r="E45" s="14">
        <v>719</v>
      </c>
      <c r="F45" s="14">
        <v>354</v>
      </c>
      <c r="G45" s="18">
        <v>33</v>
      </c>
      <c r="H45" s="14">
        <v>56</v>
      </c>
      <c r="I45" s="14">
        <v>40</v>
      </c>
      <c r="J45" s="14">
        <v>4</v>
      </c>
      <c r="K45" s="14">
        <v>34</v>
      </c>
      <c r="L45" s="14">
        <v>254</v>
      </c>
      <c r="M45" s="14">
        <v>6</v>
      </c>
    </row>
    <row r="46" spans="1:13" x14ac:dyDescent="0.2">
      <c r="A46" s="10" t="s">
        <v>549</v>
      </c>
      <c r="B46" s="16" t="s">
        <v>550</v>
      </c>
      <c r="C46" s="16" t="s">
        <v>548</v>
      </c>
      <c r="D46" s="14">
        <v>947</v>
      </c>
      <c r="E46" s="14">
        <v>820</v>
      </c>
      <c r="F46" s="14">
        <v>127</v>
      </c>
      <c r="G46" s="18">
        <v>13.4</v>
      </c>
      <c r="H46" s="14">
        <v>41</v>
      </c>
      <c r="I46" s="14">
        <v>26</v>
      </c>
      <c r="J46" s="14">
        <v>1</v>
      </c>
      <c r="K46" s="14">
        <v>21</v>
      </c>
      <c r="L46" s="14">
        <v>53</v>
      </c>
      <c r="M46" s="14">
        <v>11</v>
      </c>
    </row>
    <row r="47" spans="1:13" x14ac:dyDescent="0.2">
      <c r="A47" s="10" t="s">
        <v>551</v>
      </c>
      <c r="B47" s="16" t="s">
        <v>552</v>
      </c>
      <c r="C47" s="16" t="s">
        <v>548</v>
      </c>
      <c r="D47" s="14">
        <v>552</v>
      </c>
      <c r="E47" s="14">
        <v>478</v>
      </c>
      <c r="F47" s="14">
        <v>72</v>
      </c>
      <c r="G47" s="18">
        <v>13</v>
      </c>
      <c r="H47" s="14">
        <v>24</v>
      </c>
      <c r="I47" s="14">
        <v>15</v>
      </c>
      <c r="J47" s="14">
        <v>2</v>
      </c>
      <c r="K47" s="14">
        <v>11</v>
      </c>
      <c r="L47" s="14">
        <v>25</v>
      </c>
      <c r="M47" s="14">
        <v>10</v>
      </c>
    </row>
    <row r="48" spans="1:13" x14ac:dyDescent="0.2">
      <c r="A48" s="10" t="s">
        <v>553</v>
      </c>
      <c r="B48" s="16" t="s">
        <v>554</v>
      </c>
      <c r="C48" s="16" t="s">
        <v>548</v>
      </c>
      <c r="D48" s="14">
        <v>966</v>
      </c>
      <c r="E48" s="14">
        <v>754</v>
      </c>
      <c r="F48" s="14">
        <v>212</v>
      </c>
      <c r="G48" s="18">
        <v>21.9</v>
      </c>
      <c r="H48" s="14">
        <v>24</v>
      </c>
      <c r="I48" s="14">
        <v>13</v>
      </c>
      <c r="J48" s="14">
        <v>3</v>
      </c>
      <c r="K48" s="14">
        <v>17</v>
      </c>
      <c r="L48" s="14">
        <v>165</v>
      </c>
      <c r="M48" s="14">
        <v>3</v>
      </c>
    </row>
    <row r="49" spans="1:13" x14ac:dyDescent="0.2">
      <c r="A49" s="10" t="s">
        <v>555</v>
      </c>
      <c r="B49" s="16" t="s">
        <v>556</v>
      </c>
      <c r="C49" s="16" t="s">
        <v>548</v>
      </c>
      <c r="D49" s="14">
        <v>1073</v>
      </c>
      <c r="E49" s="14">
        <v>909</v>
      </c>
      <c r="F49" s="14">
        <v>164</v>
      </c>
      <c r="G49" s="18">
        <v>15.3</v>
      </c>
      <c r="H49" s="14">
        <v>37</v>
      </c>
      <c r="I49" s="14">
        <v>23</v>
      </c>
      <c r="J49" s="14">
        <v>10</v>
      </c>
      <c r="K49" s="14">
        <v>34</v>
      </c>
      <c r="L49" s="14">
        <v>75</v>
      </c>
      <c r="M49" s="14">
        <v>8</v>
      </c>
    </row>
    <row r="50" spans="1:13" x14ac:dyDescent="0.2">
      <c r="A50" s="10" t="s">
        <v>557</v>
      </c>
      <c r="B50" s="16" t="s">
        <v>558</v>
      </c>
      <c r="C50" s="16" t="s">
        <v>548</v>
      </c>
      <c r="D50" s="14">
        <v>1185</v>
      </c>
      <c r="E50" s="14">
        <v>710</v>
      </c>
      <c r="F50" s="14">
        <v>475</v>
      </c>
      <c r="G50" s="18">
        <v>40.1</v>
      </c>
      <c r="H50" s="14">
        <v>68</v>
      </c>
      <c r="I50" s="14">
        <v>46</v>
      </c>
      <c r="J50" s="14">
        <v>5</v>
      </c>
      <c r="K50" s="14">
        <v>22</v>
      </c>
      <c r="L50" s="14">
        <v>374</v>
      </c>
      <c r="M50" s="14">
        <v>6</v>
      </c>
    </row>
    <row r="51" spans="1:13" x14ac:dyDescent="0.2">
      <c r="A51" s="10" t="s">
        <v>559</v>
      </c>
      <c r="B51" s="16" t="s">
        <v>560</v>
      </c>
      <c r="C51" s="16" t="s">
        <v>548</v>
      </c>
      <c r="D51" s="14">
        <v>1921</v>
      </c>
      <c r="E51" s="14">
        <v>1121</v>
      </c>
      <c r="F51" s="14">
        <v>800</v>
      </c>
      <c r="G51" s="18">
        <v>41.6</v>
      </c>
      <c r="H51" s="14">
        <v>108</v>
      </c>
      <c r="I51" s="14">
        <v>82</v>
      </c>
      <c r="J51" s="14">
        <v>7</v>
      </c>
      <c r="K51" s="14">
        <v>164</v>
      </c>
      <c r="L51" s="14">
        <v>507</v>
      </c>
      <c r="M51" s="14">
        <v>14</v>
      </c>
    </row>
    <row r="52" spans="1:13" x14ac:dyDescent="0.2">
      <c r="A52" s="10" t="s">
        <v>561</v>
      </c>
      <c r="B52" s="16" t="s">
        <v>562</v>
      </c>
      <c r="C52" s="16" t="s">
        <v>548</v>
      </c>
      <c r="D52" s="14">
        <v>469</v>
      </c>
      <c r="E52" s="14">
        <v>436</v>
      </c>
      <c r="F52" s="14">
        <v>33</v>
      </c>
      <c r="G52" s="18">
        <v>7</v>
      </c>
      <c r="H52" s="14">
        <v>7</v>
      </c>
      <c r="I52" s="14">
        <v>2</v>
      </c>
      <c r="J52" s="14">
        <v>2</v>
      </c>
      <c r="K52" s="14">
        <v>6</v>
      </c>
      <c r="L52" s="14">
        <v>14</v>
      </c>
      <c r="M52" s="14">
        <v>4</v>
      </c>
    </row>
    <row r="53" spans="1:13" x14ac:dyDescent="0.2">
      <c r="A53" s="10" t="s">
        <v>563</v>
      </c>
      <c r="B53" s="16" t="s">
        <v>564</v>
      </c>
      <c r="C53" s="16" t="s">
        <v>548</v>
      </c>
      <c r="D53" s="14">
        <v>625</v>
      </c>
      <c r="E53" s="14">
        <v>542</v>
      </c>
      <c r="F53" s="14">
        <v>83</v>
      </c>
      <c r="G53" s="18">
        <v>13.3</v>
      </c>
      <c r="H53" s="14">
        <v>10</v>
      </c>
      <c r="I53" s="14">
        <v>6</v>
      </c>
      <c r="J53" s="14">
        <v>2</v>
      </c>
      <c r="K53" s="14">
        <v>12</v>
      </c>
      <c r="L53" s="14">
        <v>55</v>
      </c>
      <c r="M53" s="14">
        <v>4</v>
      </c>
    </row>
    <row r="54" spans="1:13" x14ac:dyDescent="0.2">
      <c r="A54" s="10" t="s">
        <v>565</v>
      </c>
      <c r="B54" s="16" t="s">
        <v>566</v>
      </c>
      <c r="C54" s="16" t="s">
        <v>548</v>
      </c>
      <c r="D54" s="14">
        <v>933</v>
      </c>
      <c r="E54" s="14">
        <v>822</v>
      </c>
      <c r="F54" s="14">
        <v>111</v>
      </c>
      <c r="G54" s="18">
        <v>11.9</v>
      </c>
      <c r="H54" s="14">
        <v>21</v>
      </c>
      <c r="I54" s="14">
        <v>17</v>
      </c>
      <c r="J54" s="14">
        <v>7</v>
      </c>
      <c r="K54" s="14">
        <v>30</v>
      </c>
      <c r="L54" s="14">
        <v>39</v>
      </c>
      <c r="M54" s="14">
        <v>14</v>
      </c>
    </row>
    <row r="55" spans="1:13" x14ac:dyDescent="0.2">
      <c r="A55" s="10" t="s">
        <v>567</v>
      </c>
      <c r="B55" s="16" t="s">
        <v>568</v>
      </c>
      <c r="C55" s="16" t="s">
        <v>548</v>
      </c>
      <c r="D55" s="14">
        <v>927</v>
      </c>
      <c r="E55" s="14">
        <v>818</v>
      </c>
      <c r="F55" s="14">
        <v>108</v>
      </c>
      <c r="G55" s="18">
        <v>11.7</v>
      </c>
      <c r="H55" s="14">
        <v>54</v>
      </c>
      <c r="I55" s="14">
        <v>33</v>
      </c>
      <c r="J55" s="14">
        <v>6</v>
      </c>
      <c r="K55" s="14">
        <v>23</v>
      </c>
      <c r="L55" s="14">
        <v>15</v>
      </c>
      <c r="M55" s="14">
        <v>10</v>
      </c>
    </row>
    <row r="56" spans="1:13" x14ac:dyDescent="0.2">
      <c r="A56" s="10" t="s">
        <v>569</v>
      </c>
      <c r="B56" s="16" t="s">
        <v>570</v>
      </c>
      <c r="C56" s="16" t="s">
        <v>548</v>
      </c>
      <c r="D56" s="14">
        <v>819</v>
      </c>
      <c r="E56" s="14">
        <v>776</v>
      </c>
      <c r="F56" s="14">
        <v>42</v>
      </c>
      <c r="G56" s="18">
        <v>5.0999999999999996</v>
      </c>
      <c r="H56" s="14">
        <v>13</v>
      </c>
      <c r="I56" s="14">
        <v>8</v>
      </c>
      <c r="J56" s="14">
        <v>3</v>
      </c>
      <c r="K56" s="14">
        <v>4</v>
      </c>
      <c r="L56" s="14">
        <v>17</v>
      </c>
      <c r="M56" s="14">
        <v>5</v>
      </c>
    </row>
    <row r="57" spans="1:13" s="23" customFormat="1" ht="15.75" x14ac:dyDescent="0.25">
      <c r="A57" s="21" t="s">
        <v>571</v>
      </c>
      <c r="B57" s="93" t="s">
        <v>572</v>
      </c>
      <c r="C57" s="93" t="s">
        <v>491</v>
      </c>
      <c r="D57" s="22">
        <v>13301</v>
      </c>
      <c r="E57" s="22">
        <v>10044</v>
      </c>
      <c r="F57" s="22">
        <v>3257</v>
      </c>
      <c r="G57" s="92">
        <v>24.5</v>
      </c>
      <c r="H57" s="22">
        <v>692</v>
      </c>
      <c r="I57" s="22">
        <v>439</v>
      </c>
      <c r="J57" s="22">
        <v>131</v>
      </c>
      <c r="K57" s="22">
        <v>846</v>
      </c>
      <c r="L57" s="22">
        <v>1402</v>
      </c>
      <c r="M57" s="22">
        <v>186</v>
      </c>
    </row>
    <row r="58" spans="1:13" x14ac:dyDescent="0.2">
      <c r="A58" s="10" t="s">
        <v>573</v>
      </c>
      <c r="B58" s="16" t="s">
        <v>574</v>
      </c>
      <c r="C58" s="16" t="s">
        <v>494</v>
      </c>
      <c r="D58" s="14">
        <v>1768</v>
      </c>
      <c r="E58" s="14">
        <v>1481</v>
      </c>
      <c r="F58" s="14">
        <v>287</v>
      </c>
      <c r="G58" s="18">
        <v>16.2</v>
      </c>
      <c r="H58" s="14">
        <v>73</v>
      </c>
      <c r="I58" s="14">
        <v>52</v>
      </c>
      <c r="J58" s="14">
        <v>18</v>
      </c>
      <c r="K58" s="14">
        <v>46</v>
      </c>
      <c r="L58" s="14">
        <v>116</v>
      </c>
      <c r="M58" s="14">
        <v>34</v>
      </c>
    </row>
    <row r="59" spans="1:13" x14ac:dyDescent="0.2">
      <c r="A59" s="10" t="s">
        <v>575</v>
      </c>
      <c r="B59" s="16" t="s">
        <v>576</v>
      </c>
      <c r="C59" s="16" t="s">
        <v>494</v>
      </c>
      <c r="D59" s="14">
        <v>4928</v>
      </c>
      <c r="E59" s="14">
        <v>3030</v>
      </c>
      <c r="F59" s="14">
        <v>1898</v>
      </c>
      <c r="G59" s="18">
        <v>38.5</v>
      </c>
      <c r="H59" s="14">
        <v>337</v>
      </c>
      <c r="I59" s="14">
        <v>204</v>
      </c>
      <c r="J59" s="14">
        <v>60</v>
      </c>
      <c r="K59" s="14">
        <v>550</v>
      </c>
      <c r="L59" s="14">
        <v>872</v>
      </c>
      <c r="M59" s="14">
        <v>79</v>
      </c>
    </row>
    <row r="60" spans="1:13" x14ac:dyDescent="0.2">
      <c r="A60" s="10" t="s">
        <v>577</v>
      </c>
      <c r="B60" s="16" t="s">
        <v>578</v>
      </c>
      <c r="C60" s="16" t="s">
        <v>494</v>
      </c>
      <c r="D60" s="14">
        <v>2340</v>
      </c>
      <c r="E60" s="14">
        <v>1937</v>
      </c>
      <c r="F60" s="14">
        <v>403</v>
      </c>
      <c r="G60" s="18">
        <v>17.2</v>
      </c>
      <c r="H60" s="14">
        <v>117</v>
      </c>
      <c r="I60" s="14">
        <v>76</v>
      </c>
      <c r="J60" s="14">
        <v>17</v>
      </c>
      <c r="K60" s="14">
        <v>100</v>
      </c>
      <c r="L60" s="14">
        <v>138</v>
      </c>
      <c r="M60" s="14">
        <v>31</v>
      </c>
    </row>
    <row r="61" spans="1:13" x14ac:dyDescent="0.2">
      <c r="A61" s="10" t="s">
        <v>579</v>
      </c>
      <c r="B61" s="16" t="s">
        <v>580</v>
      </c>
      <c r="C61" s="16" t="s">
        <v>494</v>
      </c>
      <c r="D61" s="14">
        <v>1631</v>
      </c>
      <c r="E61" s="14">
        <v>1375</v>
      </c>
      <c r="F61" s="14">
        <v>256</v>
      </c>
      <c r="G61" s="18">
        <v>15.7</v>
      </c>
      <c r="H61" s="14">
        <v>84</v>
      </c>
      <c r="I61" s="14">
        <v>70</v>
      </c>
      <c r="J61" s="14">
        <v>12</v>
      </c>
      <c r="K61" s="14">
        <v>75</v>
      </c>
      <c r="L61" s="14">
        <v>72</v>
      </c>
      <c r="M61" s="14">
        <v>13</v>
      </c>
    </row>
    <row r="62" spans="1:13" x14ac:dyDescent="0.2">
      <c r="A62" s="10" t="s">
        <v>581</v>
      </c>
      <c r="B62" s="16" t="s">
        <v>582</v>
      </c>
      <c r="C62" s="16" t="s">
        <v>494</v>
      </c>
      <c r="D62" s="14">
        <v>2634</v>
      </c>
      <c r="E62" s="14">
        <v>2221</v>
      </c>
      <c r="F62" s="14">
        <v>413</v>
      </c>
      <c r="G62" s="18">
        <v>15.7</v>
      </c>
      <c r="H62" s="14">
        <v>81</v>
      </c>
      <c r="I62" s="14">
        <v>37</v>
      </c>
      <c r="J62" s="14">
        <v>24</v>
      </c>
      <c r="K62" s="14">
        <v>75</v>
      </c>
      <c r="L62" s="14">
        <v>204</v>
      </c>
      <c r="M62" s="14">
        <v>29</v>
      </c>
    </row>
    <row r="63" spans="1:13" s="23" customFormat="1" ht="15.75" x14ac:dyDescent="0.25">
      <c r="A63" s="21" t="s">
        <v>583</v>
      </c>
      <c r="B63" s="93" t="s">
        <v>584</v>
      </c>
      <c r="C63" s="93" t="s">
        <v>473</v>
      </c>
      <c r="D63" s="22">
        <v>53664</v>
      </c>
      <c r="E63" s="22">
        <v>38396</v>
      </c>
      <c r="F63" s="22">
        <v>15264</v>
      </c>
      <c r="G63" s="92">
        <v>28.4</v>
      </c>
      <c r="H63" s="22">
        <v>3390</v>
      </c>
      <c r="I63" s="22">
        <v>2567</v>
      </c>
      <c r="J63" s="22">
        <v>450</v>
      </c>
      <c r="K63" s="22">
        <v>3799</v>
      </c>
      <c r="L63" s="22">
        <v>7139</v>
      </c>
      <c r="M63" s="22">
        <v>486</v>
      </c>
    </row>
    <row r="64" spans="1:13" x14ac:dyDescent="0.2">
      <c r="A64" s="10" t="s">
        <v>585</v>
      </c>
      <c r="B64" s="16" t="s">
        <v>586</v>
      </c>
      <c r="C64" s="16" t="s">
        <v>476</v>
      </c>
      <c r="D64" s="14">
        <v>2526</v>
      </c>
      <c r="E64" s="14">
        <v>2256</v>
      </c>
      <c r="F64" s="14">
        <v>269</v>
      </c>
      <c r="G64" s="18">
        <v>10.6</v>
      </c>
      <c r="H64" s="14">
        <v>118</v>
      </c>
      <c r="I64" s="14">
        <v>77</v>
      </c>
      <c r="J64" s="14">
        <v>16</v>
      </c>
      <c r="K64" s="14">
        <v>44</v>
      </c>
      <c r="L64" s="14">
        <v>67</v>
      </c>
      <c r="M64" s="14">
        <v>24</v>
      </c>
    </row>
    <row r="65" spans="1:13" x14ac:dyDescent="0.2">
      <c r="A65" s="10" t="s">
        <v>587</v>
      </c>
      <c r="B65" s="16" t="s">
        <v>588</v>
      </c>
      <c r="C65" s="16" t="s">
        <v>476</v>
      </c>
      <c r="D65" s="14">
        <v>2845</v>
      </c>
      <c r="E65" s="14">
        <v>1940</v>
      </c>
      <c r="F65" s="14">
        <v>905</v>
      </c>
      <c r="G65" s="18">
        <v>31.8</v>
      </c>
      <c r="H65" s="14">
        <v>263</v>
      </c>
      <c r="I65" s="14">
        <v>239</v>
      </c>
      <c r="J65" s="14">
        <v>24</v>
      </c>
      <c r="K65" s="14">
        <v>336</v>
      </c>
      <c r="L65" s="14">
        <v>272</v>
      </c>
      <c r="M65" s="14">
        <v>10</v>
      </c>
    </row>
    <row r="66" spans="1:13" x14ac:dyDescent="0.2">
      <c r="A66" s="10" t="s">
        <v>589</v>
      </c>
      <c r="B66" s="16" t="s">
        <v>590</v>
      </c>
      <c r="C66" s="16" t="s">
        <v>476</v>
      </c>
      <c r="D66" s="14">
        <v>1431</v>
      </c>
      <c r="E66" s="14">
        <v>1197</v>
      </c>
      <c r="F66" s="14">
        <v>234</v>
      </c>
      <c r="G66" s="18">
        <v>16.399999999999999</v>
      </c>
      <c r="H66" s="14">
        <v>89</v>
      </c>
      <c r="I66" s="14">
        <v>78</v>
      </c>
      <c r="J66" s="14">
        <v>4</v>
      </c>
      <c r="K66" s="14">
        <v>66</v>
      </c>
      <c r="L66" s="14">
        <v>71</v>
      </c>
      <c r="M66" s="14">
        <v>4</v>
      </c>
    </row>
    <row r="67" spans="1:13" x14ac:dyDescent="0.2">
      <c r="A67" s="10" t="s">
        <v>591</v>
      </c>
      <c r="B67" s="16" t="s">
        <v>592</v>
      </c>
      <c r="C67" s="16" t="s">
        <v>476</v>
      </c>
      <c r="D67" s="14">
        <v>1467</v>
      </c>
      <c r="E67" s="14">
        <v>1089</v>
      </c>
      <c r="F67" s="14">
        <v>378</v>
      </c>
      <c r="G67" s="18">
        <v>25.8</v>
      </c>
      <c r="H67" s="14">
        <v>153</v>
      </c>
      <c r="I67" s="14">
        <v>133</v>
      </c>
      <c r="J67" s="14">
        <v>10</v>
      </c>
      <c r="K67" s="14">
        <v>50</v>
      </c>
      <c r="L67" s="14">
        <v>161</v>
      </c>
      <c r="M67" s="14">
        <v>4</v>
      </c>
    </row>
    <row r="68" spans="1:13" x14ac:dyDescent="0.2">
      <c r="A68" s="10" t="s">
        <v>593</v>
      </c>
      <c r="B68" s="16" t="s">
        <v>594</v>
      </c>
      <c r="C68" s="16" t="s">
        <v>476</v>
      </c>
      <c r="D68" s="14">
        <v>1438</v>
      </c>
      <c r="E68" s="14">
        <v>1124</v>
      </c>
      <c r="F68" s="14">
        <v>314</v>
      </c>
      <c r="G68" s="18">
        <v>21.8</v>
      </c>
      <c r="H68" s="14">
        <v>83</v>
      </c>
      <c r="I68" s="14">
        <v>30</v>
      </c>
      <c r="J68" s="14">
        <v>19</v>
      </c>
      <c r="K68" s="14">
        <v>69</v>
      </c>
      <c r="L68" s="14">
        <v>111</v>
      </c>
      <c r="M68" s="14">
        <v>32</v>
      </c>
    </row>
    <row r="69" spans="1:13" x14ac:dyDescent="0.2">
      <c r="A69" s="10" t="s">
        <v>595</v>
      </c>
      <c r="B69" s="16" t="s">
        <v>596</v>
      </c>
      <c r="C69" s="16" t="s">
        <v>476</v>
      </c>
      <c r="D69" s="14">
        <v>4709</v>
      </c>
      <c r="E69" s="14">
        <v>4072</v>
      </c>
      <c r="F69" s="14">
        <v>636</v>
      </c>
      <c r="G69" s="18">
        <v>13.5</v>
      </c>
      <c r="H69" s="14">
        <v>224</v>
      </c>
      <c r="I69" s="14">
        <v>135</v>
      </c>
      <c r="J69" s="14">
        <v>20</v>
      </c>
      <c r="K69" s="14">
        <v>141</v>
      </c>
      <c r="L69" s="14">
        <v>176</v>
      </c>
      <c r="M69" s="14">
        <v>75</v>
      </c>
    </row>
    <row r="70" spans="1:13" s="23" customFormat="1" ht="15.75" x14ac:dyDescent="0.25">
      <c r="A70" s="21" t="s">
        <v>597</v>
      </c>
      <c r="B70" s="93" t="s">
        <v>598</v>
      </c>
      <c r="C70" s="93" t="s">
        <v>491</v>
      </c>
      <c r="D70" s="22">
        <v>13841</v>
      </c>
      <c r="E70" s="22">
        <v>9766</v>
      </c>
      <c r="F70" s="22">
        <v>4074</v>
      </c>
      <c r="G70" s="92">
        <v>29.4</v>
      </c>
      <c r="H70" s="22">
        <v>989</v>
      </c>
      <c r="I70" s="22">
        <v>806</v>
      </c>
      <c r="J70" s="22">
        <v>172</v>
      </c>
      <c r="K70" s="22">
        <v>1134</v>
      </c>
      <c r="L70" s="22">
        <v>1658</v>
      </c>
      <c r="M70" s="22">
        <v>121</v>
      </c>
    </row>
    <row r="71" spans="1:13" x14ac:dyDescent="0.2">
      <c r="A71" s="10" t="s">
        <v>599</v>
      </c>
      <c r="B71" s="16" t="s">
        <v>600</v>
      </c>
      <c r="C71" s="16" t="s">
        <v>494</v>
      </c>
      <c r="D71" s="14">
        <v>2287</v>
      </c>
      <c r="E71" s="14">
        <v>1911</v>
      </c>
      <c r="F71" s="14">
        <v>376</v>
      </c>
      <c r="G71" s="18">
        <v>16.399999999999999</v>
      </c>
      <c r="H71" s="14">
        <v>151</v>
      </c>
      <c r="I71" s="14">
        <v>123</v>
      </c>
      <c r="J71" s="14">
        <v>20</v>
      </c>
      <c r="K71" s="14">
        <v>93</v>
      </c>
      <c r="L71" s="14">
        <v>96</v>
      </c>
      <c r="M71" s="14">
        <v>16</v>
      </c>
    </row>
    <row r="72" spans="1:13" x14ac:dyDescent="0.2">
      <c r="A72" s="10" t="s">
        <v>601</v>
      </c>
      <c r="B72" s="16" t="s">
        <v>602</v>
      </c>
      <c r="C72" s="16" t="s">
        <v>494</v>
      </c>
      <c r="D72" s="14">
        <v>3145</v>
      </c>
      <c r="E72" s="14">
        <v>2266</v>
      </c>
      <c r="F72" s="14">
        <v>879</v>
      </c>
      <c r="G72" s="18">
        <v>27.9</v>
      </c>
      <c r="H72" s="14">
        <v>324</v>
      </c>
      <c r="I72" s="14">
        <v>285</v>
      </c>
      <c r="J72" s="14">
        <v>45</v>
      </c>
      <c r="K72" s="14">
        <v>242</v>
      </c>
      <c r="L72" s="14">
        <v>252</v>
      </c>
      <c r="M72" s="14">
        <v>16</v>
      </c>
    </row>
    <row r="73" spans="1:13" x14ac:dyDescent="0.2">
      <c r="A73" s="10" t="s">
        <v>603</v>
      </c>
      <c r="B73" s="16" t="s">
        <v>604</v>
      </c>
      <c r="C73" s="16" t="s">
        <v>494</v>
      </c>
      <c r="D73" s="14">
        <v>2811</v>
      </c>
      <c r="E73" s="14">
        <v>2176</v>
      </c>
      <c r="F73" s="14">
        <v>634</v>
      </c>
      <c r="G73" s="18">
        <v>22.6</v>
      </c>
      <c r="H73" s="14">
        <v>158</v>
      </c>
      <c r="I73" s="14">
        <v>137</v>
      </c>
      <c r="J73" s="14">
        <v>31</v>
      </c>
      <c r="K73" s="14">
        <v>148</v>
      </c>
      <c r="L73" s="14">
        <v>278</v>
      </c>
      <c r="M73" s="14">
        <v>19</v>
      </c>
    </row>
    <row r="74" spans="1:13" x14ac:dyDescent="0.2">
      <c r="A74" s="10" t="s">
        <v>605</v>
      </c>
      <c r="B74" s="16" t="s">
        <v>606</v>
      </c>
      <c r="C74" s="16" t="s">
        <v>494</v>
      </c>
      <c r="D74" s="14">
        <v>5598</v>
      </c>
      <c r="E74" s="14">
        <v>3413</v>
      </c>
      <c r="F74" s="14">
        <v>2185</v>
      </c>
      <c r="G74" s="18">
        <v>39</v>
      </c>
      <c r="H74" s="14">
        <v>356</v>
      </c>
      <c r="I74" s="14">
        <v>261</v>
      </c>
      <c r="J74" s="14">
        <v>76</v>
      </c>
      <c r="K74" s="14">
        <v>651</v>
      </c>
      <c r="L74" s="14">
        <v>1032</v>
      </c>
      <c r="M74" s="14">
        <v>70</v>
      </c>
    </row>
    <row r="75" spans="1:13" s="23" customFormat="1" ht="15.75" x14ac:dyDescent="0.25">
      <c r="A75" s="21" t="s">
        <v>607</v>
      </c>
      <c r="B75" s="93" t="s">
        <v>608</v>
      </c>
      <c r="C75" s="93" t="s">
        <v>491</v>
      </c>
      <c r="D75" s="22">
        <v>25407</v>
      </c>
      <c r="E75" s="22">
        <v>16952</v>
      </c>
      <c r="F75" s="22">
        <v>8454</v>
      </c>
      <c r="G75" s="92">
        <v>33.299999999999997</v>
      </c>
      <c r="H75" s="22">
        <v>1471</v>
      </c>
      <c r="I75" s="22">
        <v>1069</v>
      </c>
      <c r="J75" s="22">
        <v>185</v>
      </c>
      <c r="K75" s="22">
        <v>1959</v>
      </c>
      <c r="L75" s="22">
        <v>4623</v>
      </c>
      <c r="M75" s="22">
        <v>216</v>
      </c>
    </row>
    <row r="76" spans="1:13" x14ac:dyDescent="0.2">
      <c r="A76" s="10" t="s">
        <v>609</v>
      </c>
      <c r="B76" s="16" t="s">
        <v>610</v>
      </c>
      <c r="C76" s="16" t="s">
        <v>494</v>
      </c>
      <c r="D76" s="14">
        <v>6939</v>
      </c>
      <c r="E76" s="14">
        <v>4121</v>
      </c>
      <c r="F76" s="14">
        <v>2818</v>
      </c>
      <c r="G76" s="18">
        <v>40.6</v>
      </c>
      <c r="H76" s="14">
        <v>371</v>
      </c>
      <c r="I76" s="14">
        <v>308</v>
      </c>
      <c r="J76" s="14">
        <v>25</v>
      </c>
      <c r="K76" s="14">
        <v>383</v>
      </c>
      <c r="L76" s="14">
        <v>1994</v>
      </c>
      <c r="M76" s="14">
        <v>45</v>
      </c>
    </row>
    <row r="77" spans="1:13" x14ac:dyDescent="0.2">
      <c r="A77" s="10" t="s">
        <v>611</v>
      </c>
      <c r="B77" s="16" t="s">
        <v>612</v>
      </c>
      <c r="C77" s="16" t="s">
        <v>494</v>
      </c>
      <c r="D77" s="14">
        <v>1964</v>
      </c>
      <c r="E77" s="14">
        <v>1567</v>
      </c>
      <c r="F77" s="14">
        <v>397</v>
      </c>
      <c r="G77" s="18">
        <v>20.2</v>
      </c>
      <c r="H77" s="14">
        <v>76</v>
      </c>
      <c r="I77" s="14">
        <v>52</v>
      </c>
      <c r="J77" s="14">
        <v>11</v>
      </c>
      <c r="K77" s="14">
        <v>56</v>
      </c>
      <c r="L77" s="14">
        <v>235</v>
      </c>
      <c r="M77" s="14">
        <v>19</v>
      </c>
    </row>
    <row r="78" spans="1:13" x14ac:dyDescent="0.2">
      <c r="A78" s="10" t="s">
        <v>613</v>
      </c>
      <c r="B78" s="16" t="s">
        <v>614</v>
      </c>
      <c r="C78" s="16" t="s">
        <v>494</v>
      </c>
      <c r="D78" s="14">
        <v>4509</v>
      </c>
      <c r="E78" s="14">
        <v>3171</v>
      </c>
      <c r="F78" s="14">
        <v>1338</v>
      </c>
      <c r="G78" s="18">
        <v>29.7</v>
      </c>
      <c r="H78" s="14">
        <v>152</v>
      </c>
      <c r="I78" s="14">
        <v>102</v>
      </c>
      <c r="J78" s="14">
        <v>29</v>
      </c>
      <c r="K78" s="14">
        <v>256</v>
      </c>
      <c r="L78" s="14">
        <v>881</v>
      </c>
      <c r="M78" s="14">
        <v>20</v>
      </c>
    </row>
    <row r="79" spans="1:13" x14ac:dyDescent="0.2">
      <c r="A79" s="10" t="s">
        <v>615</v>
      </c>
      <c r="B79" s="16" t="s">
        <v>616</v>
      </c>
      <c r="C79" s="16" t="s">
        <v>494</v>
      </c>
      <c r="D79" s="14">
        <v>8510</v>
      </c>
      <c r="E79" s="14">
        <v>5374</v>
      </c>
      <c r="F79" s="14">
        <v>3136</v>
      </c>
      <c r="G79" s="18">
        <v>36.9</v>
      </c>
      <c r="H79" s="14">
        <v>655</v>
      </c>
      <c r="I79" s="14">
        <v>436</v>
      </c>
      <c r="J79" s="14">
        <v>84</v>
      </c>
      <c r="K79" s="14">
        <v>1043</v>
      </c>
      <c r="L79" s="14">
        <v>1236</v>
      </c>
      <c r="M79" s="14">
        <v>118</v>
      </c>
    </row>
    <row r="80" spans="1:13" x14ac:dyDescent="0.2">
      <c r="A80" s="10" t="s">
        <v>617</v>
      </c>
      <c r="B80" s="16" t="s">
        <v>618</v>
      </c>
      <c r="C80" s="16" t="s">
        <v>494</v>
      </c>
      <c r="D80" s="14">
        <v>3485</v>
      </c>
      <c r="E80" s="14">
        <v>2719</v>
      </c>
      <c r="F80" s="14">
        <v>765</v>
      </c>
      <c r="G80" s="18">
        <v>22</v>
      </c>
      <c r="H80" s="14">
        <v>217</v>
      </c>
      <c r="I80" s="14">
        <v>171</v>
      </c>
      <c r="J80" s="14">
        <v>36</v>
      </c>
      <c r="K80" s="14">
        <v>221</v>
      </c>
      <c r="L80" s="14">
        <v>277</v>
      </c>
      <c r="M80" s="14">
        <v>14</v>
      </c>
    </row>
    <row r="81" spans="1:13" s="23" customFormat="1" ht="15.75" x14ac:dyDescent="0.25">
      <c r="A81" s="21" t="s">
        <v>619</v>
      </c>
      <c r="B81" s="93" t="s">
        <v>620</v>
      </c>
      <c r="C81" s="93" t="s">
        <v>473</v>
      </c>
      <c r="D81" s="22">
        <v>44958</v>
      </c>
      <c r="E81" s="22">
        <v>31065</v>
      </c>
      <c r="F81" s="22">
        <v>13888</v>
      </c>
      <c r="G81" s="92">
        <v>30.9</v>
      </c>
      <c r="H81" s="22">
        <v>3357</v>
      </c>
      <c r="I81" s="22">
        <v>2531</v>
      </c>
      <c r="J81" s="22">
        <v>830</v>
      </c>
      <c r="K81" s="22">
        <v>3248</v>
      </c>
      <c r="L81" s="22">
        <v>5993</v>
      </c>
      <c r="M81" s="22">
        <v>460</v>
      </c>
    </row>
    <row r="82" spans="1:13" x14ac:dyDescent="0.2">
      <c r="A82" s="10" t="s">
        <v>621</v>
      </c>
      <c r="B82" s="16" t="s">
        <v>622</v>
      </c>
      <c r="C82" s="16" t="s">
        <v>476</v>
      </c>
      <c r="D82" s="14">
        <v>2933</v>
      </c>
      <c r="E82" s="14">
        <v>1532</v>
      </c>
      <c r="F82" s="14">
        <v>1401</v>
      </c>
      <c r="G82" s="18">
        <v>47.8</v>
      </c>
      <c r="H82" s="14">
        <v>290</v>
      </c>
      <c r="I82" s="14">
        <v>246</v>
      </c>
      <c r="J82" s="14">
        <v>36</v>
      </c>
      <c r="K82" s="14">
        <v>324</v>
      </c>
      <c r="L82" s="14">
        <v>723</v>
      </c>
      <c r="M82" s="14">
        <v>28</v>
      </c>
    </row>
    <row r="83" spans="1:13" x14ac:dyDescent="0.2">
      <c r="A83" s="10" t="s">
        <v>623</v>
      </c>
      <c r="B83" s="16" t="s">
        <v>624</v>
      </c>
      <c r="C83" s="16" t="s">
        <v>476</v>
      </c>
      <c r="D83" s="14">
        <v>4454</v>
      </c>
      <c r="E83" s="14">
        <v>1476</v>
      </c>
      <c r="F83" s="14">
        <v>2978</v>
      </c>
      <c r="G83" s="18">
        <v>66.900000000000006</v>
      </c>
      <c r="H83" s="14">
        <v>304</v>
      </c>
      <c r="I83" s="14">
        <v>186</v>
      </c>
      <c r="J83" s="14">
        <v>75</v>
      </c>
      <c r="K83" s="14">
        <v>565</v>
      </c>
      <c r="L83" s="14">
        <v>2000</v>
      </c>
      <c r="M83" s="14">
        <v>34</v>
      </c>
    </row>
    <row r="84" spans="1:13" x14ac:dyDescent="0.2">
      <c r="A84" s="10" t="s">
        <v>625</v>
      </c>
      <c r="B84" s="16" t="s">
        <v>626</v>
      </c>
      <c r="C84" s="16" t="s">
        <v>476</v>
      </c>
      <c r="D84" s="14">
        <v>3296</v>
      </c>
      <c r="E84" s="14">
        <v>1543</v>
      </c>
      <c r="F84" s="14">
        <v>1753</v>
      </c>
      <c r="G84" s="18">
        <v>53.2</v>
      </c>
      <c r="H84" s="14">
        <v>280</v>
      </c>
      <c r="I84" s="14">
        <v>196</v>
      </c>
      <c r="J84" s="14">
        <v>53</v>
      </c>
      <c r="K84" s="14">
        <v>517</v>
      </c>
      <c r="L84" s="14">
        <v>852</v>
      </c>
      <c r="M84" s="14">
        <v>51</v>
      </c>
    </row>
    <row r="85" spans="1:13" x14ac:dyDescent="0.2">
      <c r="A85" s="10" t="s">
        <v>627</v>
      </c>
      <c r="B85" s="16" t="s">
        <v>628</v>
      </c>
      <c r="C85" s="16" t="s">
        <v>476</v>
      </c>
      <c r="D85" s="14">
        <v>243</v>
      </c>
      <c r="E85" s="14">
        <v>206</v>
      </c>
      <c r="F85" s="14">
        <v>37</v>
      </c>
      <c r="G85" s="18">
        <v>15.2</v>
      </c>
      <c r="H85" s="14">
        <v>7</v>
      </c>
      <c r="I85" s="14">
        <v>2</v>
      </c>
      <c r="J85" s="14">
        <v>1</v>
      </c>
      <c r="K85" s="14">
        <v>11</v>
      </c>
      <c r="L85" s="14">
        <v>6</v>
      </c>
      <c r="M85" s="14">
        <v>12</v>
      </c>
    </row>
    <row r="86" spans="1:13" x14ac:dyDescent="0.2">
      <c r="A86" s="10" t="s">
        <v>629</v>
      </c>
      <c r="B86" s="16" t="s">
        <v>630</v>
      </c>
      <c r="C86" s="16" t="s">
        <v>476</v>
      </c>
      <c r="D86" s="14">
        <v>3379</v>
      </c>
      <c r="E86" s="14">
        <v>2279</v>
      </c>
      <c r="F86" s="14">
        <v>1098</v>
      </c>
      <c r="G86" s="18">
        <v>32.5</v>
      </c>
      <c r="H86" s="14">
        <v>401</v>
      </c>
      <c r="I86" s="14">
        <v>342</v>
      </c>
      <c r="J86" s="14">
        <v>120</v>
      </c>
      <c r="K86" s="14">
        <v>294</v>
      </c>
      <c r="L86" s="14">
        <v>244</v>
      </c>
      <c r="M86" s="14">
        <v>39</v>
      </c>
    </row>
    <row r="87" spans="1:13" x14ac:dyDescent="0.2">
      <c r="A87" s="10" t="s">
        <v>631</v>
      </c>
      <c r="B87" s="16" t="s">
        <v>632</v>
      </c>
      <c r="C87" s="16" t="s">
        <v>476</v>
      </c>
      <c r="D87" s="14">
        <v>4249</v>
      </c>
      <c r="E87" s="14">
        <v>2526</v>
      </c>
      <c r="F87" s="14">
        <v>1720</v>
      </c>
      <c r="G87" s="18">
        <v>40.5</v>
      </c>
      <c r="H87" s="14">
        <v>431</v>
      </c>
      <c r="I87" s="14">
        <v>358</v>
      </c>
      <c r="J87" s="14">
        <v>297</v>
      </c>
      <c r="K87" s="14">
        <v>444</v>
      </c>
      <c r="L87" s="14">
        <v>504</v>
      </c>
      <c r="M87" s="14">
        <v>44</v>
      </c>
    </row>
    <row r="88" spans="1:13" s="23" customFormat="1" ht="15.75" x14ac:dyDescent="0.25">
      <c r="A88" s="21" t="s">
        <v>633</v>
      </c>
      <c r="B88" s="93" t="s">
        <v>634</v>
      </c>
      <c r="C88" s="93" t="s">
        <v>545</v>
      </c>
      <c r="D88" s="22">
        <v>6901</v>
      </c>
      <c r="E88" s="22">
        <v>6078</v>
      </c>
      <c r="F88" s="22">
        <v>823</v>
      </c>
      <c r="G88" s="92">
        <v>11.9</v>
      </c>
      <c r="H88" s="22">
        <v>271</v>
      </c>
      <c r="I88" s="22">
        <v>184</v>
      </c>
      <c r="J88" s="22">
        <v>54</v>
      </c>
      <c r="K88" s="22">
        <v>175</v>
      </c>
      <c r="L88" s="22">
        <v>259</v>
      </c>
      <c r="M88" s="22">
        <v>64</v>
      </c>
    </row>
    <row r="89" spans="1:13" x14ac:dyDescent="0.2">
      <c r="A89" s="10" t="s">
        <v>635</v>
      </c>
      <c r="B89" s="16" t="s">
        <v>636</v>
      </c>
      <c r="C89" s="16" t="s">
        <v>548</v>
      </c>
      <c r="D89" s="14">
        <v>1145</v>
      </c>
      <c r="E89" s="14">
        <v>1024</v>
      </c>
      <c r="F89" s="14">
        <v>121</v>
      </c>
      <c r="G89" s="18">
        <v>10.6</v>
      </c>
      <c r="H89" s="14">
        <v>43</v>
      </c>
      <c r="I89" s="14">
        <v>28</v>
      </c>
      <c r="J89" s="14">
        <v>12</v>
      </c>
      <c r="K89" s="14">
        <v>22</v>
      </c>
      <c r="L89" s="14">
        <v>33</v>
      </c>
      <c r="M89" s="14">
        <v>11</v>
      </c>
    </row>
    <row r="90" spans="1:13" x14ac:dyDescent="0.2">
      <c r="A90" s="10" t="s">
        <v>637</v>
      </c>
      <c r="B90" s="16" t="s">
        <v>638</v>
      </c>
      <c r="C90" s="16" t="s">
        <v>548</v>
      </c>
      <c r="D90" s="14">
        <v>774</v>
      </c>
      <c r="E90" s="14">
        <v>675</v>
      </c>
      <c r="F90" s="14">
        <v>99</v>
      </c>
      <c r="G90" s="18">
        <v>12.8</v>
      </c>
      <c r="H90" s="14">
        <v>45</v>
      </c>
      <c r="I90" s="14">
        <v>36</v>
      </c>
      <c r="J90" s="14">
        <v>3</v>
      </c>
      <c r="K90" s="14">
        <v>24</v>
      </c>
      <c r="L90" s="14">
        <v>20</v>
      </c>
      <c r="M90" s="14">
        <v>7</v>
      </c>
    </row>
    <row r="91" spans="1:13" x14ac:dyDescent="0.2">
      <c r="A91" s="10" t="s">
        <v>639</v>
      </c>
      <c r="B91" s="16" t="s">
        <v>640</v>
      </c>
      <c r="C91" s="16" t="s">
        <v>548</v>
      </c>
      <c r="D91" s="14">
        <v>891</v>
      </c>
      <c r="E91" s="14">
        <v>755</v>
      </c>
      <c r="F91" s="14">
        <v>136</v>
      </c>
      <c r="G91" s="18">
        <v>15.3</v>
      </c>
      <c r="H91" s="14">
        <v>30</v>
      </c>
      <c r="I91" s="14">
        <v>14</v>
      </c>
      <c r="J91" s="14">
        <v>11</v>
      </c>
      <c r="K91" s="14">
        <v>36</v>
      </c>
      <c r="L91" s="14">
        <v>56</v>
      </c>
      <c r="M91" s="14">
        <v>3</v>
      </c>
    </row>
    <row r="92" spans="1:13" x14ac:dyDescent="0.2">
      <c r="A92" s="10" t="s">
        <v>641</v>
      </c>
      <c r="B92" s="16" t="s">
        <v>642</v>
      </c>
      <c r="C92" s="16" t="s">
        <v>548</v>
      </c>
      <c r="D92" s="14">
        <v>421</v>
      </c>
      <c r="E92" s="14">
        <v>400</v>
      </c>
      <c r="F92" s="14">
        <v>21</v>
      </c>
      <c r="G92" s="18">
        <v>5</v>
      </c>
      <c r="H92" s="14">
        <v>8</v>
      </c>
      <c r="I92" s="14">
        <v>3</v>
      </c>
      <c r="J92" s="14">
        <v>3</v>
      </c>
      <c r="K92" s="14">
        <v>3</v>
      </c>
      <c r="L92" s="14">
        <v>2</v>
      </c>
      <c r="M92" s="14">
        <v>5</v>
      </c>
    </row>
    <row r="93" spans="1:13" x14ac:dyDescent="0.2">
      <c r="A93" s="10" t="s">
        <v>643</v>
      </c>
      <c r="B93" s="16" t="s">
        <v>644</v>
      </c>
      <c r="C93" s="16" t="s">
        <v>548</v>
      </c>
      <c r="D93" s="14">
        <v>942</v>
      </c>
      <c r="E93" s="14">
        <v>805</v>
      </c>
      <c r="F93" s="14">
        <v>137</v>
      </c>
      <c r="G93" s="18">
        <v>14.5</v>
      </c>
      <c r="H93" s="14">
        <v>43</v>
      </c>
      <c r="I93" s="14">
        <v>37</v>
      </c>
      <c r="J93" s="14">
        <v>8</v>
      </c>
      <c r="K93" s="14">
        <v>26</v>
      </c>
      <c r="L93" s="14">
        <v>47</v>
      </c>
      <c r="M93" s="14">
        <v>13</v>
      </c>
    </row>
    <row r="94" spans="1:13" x14ac:dyDescent="0.2">
      <c r="A94" s="10" t="s">
        <v>645</v>
      </c>
      <c r="B94" s="16" t="s">
        <v>646</v>
      </c>
      <c r="C94" s="16" t="s">
        <v>548</v>
      </c>
      <c r="D94" s="14">
        <v>671</v>
      </c>
      <c r="E94" s="14">
        <v>626</v>
      </c>
      <c r="F94" s="14">
        <v>45</v>
      </c>
      <c r="G94" s="18">
        <v>6.7</v>
      </c>
      <c r="H94" s="14">
        <v>22</v>
      </c>
      <c r="I94" s="14">
        <v>15</v>
      </c>
      <c r="J94" s="14">
        <v>2</v>
      </c>
      <c r="K94" s="14">
        <v>3</v>
      </c>
      <c r="L94" s="14">
        <v>10</v>
      </c>
      <c r="M94" s="14">
        <v>8</v>
      </c>
    </row>
    <row r="95" spans="1:13" x14ac:dyDescent="0.2">
      <c r="A95" s="10" t="s">
        <v>647</v>
      </c>
      <c r="B95" s="16" t="s">
        <v>648</v>
      </c>
      <c r="C95" s="16" t="s">
        <v>548</v>
      </c>
      <c r="D95" s="14">
        <v>866</v>
      </c>
      <c r="E95" s="14">
        <v>788</v>
      </c>
      <c r="F95" s="14">
        <v>78</v>
      </c>
      <c r="G95" s="18">
        <v>9</v>
      </c>
      <c r="H95" s="14">
        <v>16</v>
      </c>
      <c r="I95" s="14">
        <v>6</v>
      </c>
      <c r="J95" s="14">
        <v>8</v>
      </c>
      <c r="K95" s="14">
        <v>17</v>
      </c>
      <c r="L95" s="14">
        <v>30</v>
      </c>
      <c r="M95" s="14">
        <v>7</v>
      </c>
    </row>
    <row r="96" spans="1:13" x14ac:dyDescent="0.2">
      <c r="A96" s="10" t="s">
        <v>649</v>
      </c>
      <c r="B96" s="16" t="s">
        <v>650</v>
      </c>
      <c r="C96" s="16" t="s">
        <v>548</v>
      </c>
      <c r="D96" s="14">
        <v>1191</v>
      </c>
      <c r="E96" s="14">
        <v>1005</v>
      </c>
      <c r="F96" s="14">
        <v>186</v>
      </c>
      <c r="G96" s="18">
        <v>15.6</v>
      </c>
      <c r="H96" s="14">
        <v>64</v>
      </c>
      <c r="I96" s="14">
        <v>45</v>
      </c>
      <c r="J96" s="14">
        <v>7</v>
      </c>
      <c r="K96" s="14">
        <v>44</v>
      </c>
      <c r="L96" s="14">
        <v>61</v>
      </c>
      <c r="M96" s="14">
        <v>10</v>
      </c>
    </row>
    <row r="97" spans="1:13" s="23" customFormat="1" ht="15.75" x14ac:dyDescent="0.25">
      <c r="A97" s="21" t="s">
        <v>651</v>
      </c>
      <c r="B97" s="93" t="s">
        <v>652</v>
      </c>
      <c r="C97" s="93" t="s">
        <v>545</v>
      </c>
      <c r="D97" s="22">
        <v>6312</v>
      </c>
      <c r="E97" s="22">
        <v>5070</v>
      </c>
      <c r="F97" s="22">
        <v>1242</v>
      </c>
      <c r="G97" s="92">
        <v>19.7</v>
      </c>
      <c r="H97" s="22">
        <v>321</v>
      </c>
      <c r="I97" s="22">
        <v>208</v>
      </c>
      <c r="J97" s="22">
        <v>72</v>
      </c>
      <c r="K97" s="22">
        <v>254</v>
      </c>
      <c r="L97" s="22">
        <v>541</v>
      </c>
      <c r="M97" s="22">
        <v>54</v>
      </c>
    </row>
    <row r="98" spans="1:13" x14ac:dyDescent="0.2">
      <c r="A98" s="10" t="s">
        <v>653</v>
      </c>
      <c r="B98" s="16" t="s">
        <v>654</v>
      </c>
      <c r="C98" s="16" t="s">
        <v>548</v>
      </c>
      <c r="D98" s="14">
        <v>930</v>
      </c>
      <c r="E98" s="14">
        <v>723</v>
      </c>
      <c r="F98" s="14">
        <v>207</v>
      </c>
      <c r="G98" s="18">
        <v>22.3</v>
      </c>
      <c r="H98" s="14">
        <v>54</v>
      </c>
      <c r="I98" s="14">
        <v>33</v>
      </c>
      <c r="J98" s="14">
        <v>16</v>
      </c>
      <c r="K98" s="14">
        <v>43</v>
      </c>
      <c r="L98" s="14">
        <v>88</v>
      </c>
      <c r="M98" s="14">
        <v>6</v>
      </c>
    </row>
    <row r="99" spans="1:13" x14ac:dyDescent="0.2">
      <c r="A99" s="10" t="s">
        <v>655</v>
      </c>
      <c r="B99" s="16" t="s">
        <v>656</v>
      </c>
      <c r="C99" s="16" t="s">
        <v>548</v>
      </c>
      <c r="D99" s="14">
        <v>1533</v>
      </c>
      <c r="E99" s="14">
        <v>1156</v>
      </c>
      <c r="F99" s="14">
        <v>377</v>
      </c>
      <c r="G99" s="18">
        <v>24.6</v>
      </c>
      <c r="H99" s="14">
        <v>66</v>
      </c>
      <c r="I99" s="14">
        <v>43</v>
      </c>
      <c r="J99" s="14">
        <v>15</v>
      </c>
      <c r="K99" s="14">
        <v>67</v>
      </c>
      <c r="L99" s="14">
        <v>219</v>
      </c>
      <c r="M99" s="14">
        <v>10</v>
      </c>
    </row>
    <row r="100" spans="1:13" x14ac:dyDescent="0.2">
      <c r="A100" s="10" t="s">
        <v>657</v>
      </c>
      <c r="B100" s="16" t="s">
        <v>658</v>
      </c>
      <c r="C100" s="16" t="s">
        <v>548</v>
      </c>
      <c r="D100" s="14">
        <v>893</v>
      </c>
      <c r="E100" s="14">
        <v>764</v>
      </c>
      <c r="F100" s="14">
        <v>129</v>
      </c>
      <c r="G100" s="18">
        <v>14.4</v>
      </c>
      <c r="H100" s="14">
        <v>43</v>
      </c>
      <c r="I100" s="14">
        <v>23</v>
      </c>
      <c r="J100" s="14">
        <v>10</v>
      </c>
      <c r="K100" s="14">
        <v>26</v>
      </c>
      <c r="L100" s="14">
        <v>36</v>
      </c>
      <c r="M100" s="14">
        <v>14</v>
      </c>
    </row>
    <row r="101" spans="1:13" x14ac:dyDescent="0.2">
      <c r="A101" s="10" t="s">
        <v>659</v>
      </c>
      <c r="B101" s="16" t="s">
        <v>660</v>
      </c>
      <c r="C101" s="16" t="s">
        <v>548</v>
      </c>
      <c r="D101" s="14">
        <v>1020</v>
      </c>
      <c r="E101" s="14">
        <v>870</v>
      </c>
      <c r="F101" s="14">
        <v>150</v>
      </c>
      <c r="G101" s="18">
        <v>14.7</v>
      </c>
      <c r="H101" s="14">
        <v>58</v>
      </c>
      <c r="I101" s="14">
        <v>42</v>
      </c>
      <c r="J101" s="14">
        <v>18</v>
      </c>
      <c r="K101" s="14">
        <v>25</v>
      </c>
      <c r="L101" s="14">
        <v>43</v>
      </c>
      <c r="M101" s="14">
        <v>6</v>
      </c>
    </row>
    <row r="102" spans="1:13" x14ac:dyDescent="0.2">
      <c r="A102" s="10" t="s">
        <v>661</v>
      </c>
      <c r="B102" s="16" t="s">
        <v>662</v>
      </c>
      <c r="C102" s="16" t="s">
        <v>548</v>
      </c>
      <c r="D102" s="14">
        <v>392</v>
      </c>
      <c r="E102" s="14">
        <v>349</v>
      </c>
      <c r="F102" s="14">
        <v>43</v>
      </c>
      <c r="G102" s="18">
        <v>11</v>
      </c>
      <c r="H102" s="14">
        <v>9</v>
      </c>
      <c r="I102" s="14">
        <v>6</v>
      </c>
      <c r="J102" s="14">
        <v>1</v>
      </c>
      <c r="K102" s="14">
        <v>17</v>
      </c>
      <c r="L102" s="14">
        <v>9</v>
      </c>
      <c r="M102" s="14">
        <v>7</v>
      </c>
    </row>
    <row r="103" spans="1:13" x14ac:dyDescent="0.2">
      <c r="A103" s="10" t="s">
        <v>663</v>
      </c>
      <c r="B103" s="16" t="s">
        <v>664</v>
      </c>
      <c r="C103" s="16" t="s">
        <v>548</v>
      </c>
      <c r="D103" s="14">
        <v>973</v>
      </c>
      <c r="E103" s="14">
        <v>845</v>
      </c>
      <c r="F103" s="14">
        <v>128</v>
      </c>
      <c r="G103" s="18">
        <v>13.2</v>
      </c>
      <c r="H103" s="14">
        <v>69</v>
      </c>
      <c r="I103" s="14">
        <v>53</v>
      </c>
      <c r="J103" s="14">
        <v>4</v>
      </c>
      <c r="K103" s="14">
        <v>25</v>
      </c>
      <c r="L103" s="14">
        <v>22</v>
      </c>
      <c r="M103" s="14">
        <v>8</v>
      </c>
    </row>
    <row r="104" spans="1:13" x14ac:dyDescent="0.2">
      <c r="A104" s="10" t="s">
        <v>665</v>
      </c>
      <c r="B104" s="16" t="s">
        <v>666</v>
      </c>
      <c r="C104" s="16" t="s">
        <v>548</v>
      </c>
      <c r="D104" s="14">
        <v>571</v>
      </c>
      <c r="E104" s="14">
        <v>363</v>
      </c>
      <c r="F104" s="14">
        <v>208</v>
      </c>
      <c r="G104" s="18">
        <v>36.4</v>
      </c>
      <c r="H104" s="14">
        <v>22</v>
      </c>
      <c r="I104" s="14">
        <v>8</v>
      </c>
      <c r="J104" s="14">
        <v>8</v>
      </c>
      <c r="K104" s="14">
        <v>51</v>
      </c>
      <c r="L104" s="14">
        <v>124</v>
      </c>
      <c r="M104" s="14">
        <v>3</v>
      </c>
    </row>
    <row r="105" spans="1:13" s="23" customFormat="1" ht="15.75" x14ac:dyDescent="0.25">
      <c r="A105" s="21" t="s">
        <v>667</v>
      </c>
      <c r="B105" s="93" t="s">
        <v>668</v>
      </c>
      <c r="C105" s="93" t="s">
        <v>545</v>
      </c>
      <c r="D105" s="22">
        <v>6004</v>
      </c>
      <c r="E105" s="22">
        <v>4668</v>
      </c>
      <c r="F105" s="22">
        <v>1336</v>
      </c>
      <c r="G105" s="92">
        <v>22.3</v>
      </c>
      <c r="H105" s="22">
        <v>581</v>
      </c>
      <c r="I105" s="22">
        <v>468</v>
      </c>
      <c r="J105" s="22">
        <v>45</v>
      </c>
      <c r="K105" s="22">
        <v>273</v>
      </c>
      <c r="L105" s="22">
        <v>377</v>
      </c>
      <c r="M105" s="22">
        <v>60</v>
      </c>
    </row>
    <row r="106" spans="1:13" x14ac:dyDescent="0.2">
      <c r="A106" s="10" t="s">
        <v>669</v>
      </c>
      <c r="B106" s="16" t="s">
        <v>670</v>
      </c>
      <c r="C106" s="16" t="s">
        <v>548</v>
      </c>
      <c r="D106" s="14">
        <v>636</v>
      </c>
      <c r="E106" s="14">
        <v>365</v>
      </c>
      <c r="F106" s="14">
        <v>271</v>
      </c>
      <c r="G106" s="18">
        <v>42.6</v>
      </c>
      <c r="H106" s="14">
        <v>177</v>
      </c>
      <c r="I106" s="14">
        <v>162</v>
      </c>
      <c r="J106" s="14">
        <v>8</v>
      </c>
      <c r="K106" s="14">
        <v>27</v>
      </c>
      <c r="L106" s="14">
        <v>58</v>
      </c>
      <c r="M106" s="14">
        <v>1</v>
      </c>
    </row>
    <row r="107" spans="1:13" x14ac:dyDescent="0.2">
      <c r="A107" s="10" t="s">
        <v>671</v>
      </c>
      <c r="B107" s="16" t="s">
        <v>672</v>
      </c>
      <c r="C107" s="16" t="s">
        <v>548</v>
      </c>
      <c r="D107" s="14">
        <v>901</v>
      </c>
      <c r="E107" s="14">
        <v>828</v>
      </c>
      <c r="F107" s="14">
        <v>73</v>
      </c>
      <c r="G107" s="18">
        <v>8.1</v>
      </c>
      <c r="H107" s="14">
        <v>24</v>
      </c>
      <c r="I107" s="14">
        <v>11</v>
      </c>
      <c r="J107" s="14">
        <v>0</v>
      </c>
      <c r="K107" s="14">
        <v>12</v>
      </c>
      <c r="L107" s="14">
        <v>27</v>
      </c>
      <c r="M107" s="14">
        <v>10</v>
      </c>
    </row>
    <row r="108" spans="1:13" x14ac:dyDescent="0.2">
      <c r="A108" s="10" t="s">
        <v>673</v>
      </c>
      <c r="B108" s="16" t="s">
        <v>674</v>
      </c>
      <c r="C108" s="16" t="s">
        <v>548</v>
      </c>
      <c r="D108" s="14">
        <v>966</v>
      </c>
      <c r="E108" s="14">
        <v>575</v>
      </c>
      <c r="F108" s="14">
        <v>391</v>
      </c>
      <c r="G108" s="18">
        <v>40.5</v>
      </c>
      <c r="H108" s="14">
        <v>95</v>
      </c>
      <c r="I108" s="14">
        <v>76</v>
      </c>
      <c r="J108" s="14">
        <v>7</v>
      </c>
      <c r="K108" s="14">
        <v>124</v>
      </c>
      <c r="L108" s="14">
        <v>155</v>
      </c>
      <c r="M108" s="14">
        <v>10</v>
      </c>
    </row>
    <row r="109" spans="1:13" x14ac:dyDescent="0.2">
      <c r="A109" s="10" t="s">
        <v>675</v>
      </c>
      <c r="B109" s="16" t="s">
        <v>676</v>
      </c>
      <c r="C109" s="16" t="s">
        <v>548</v>
      </c>
      <c r="D109" s="14">
        <v>887</v>
      </c>
      <c r="E109" s="14">
        <v>767</v>
      </c>
      <c r="F109" s="14">
        <v>120</v>
      </c>
      <c r="G109" s="18">
        <v>13.5</v>
      </c>
      <c r="H109" s="14">
        <v>43</v>
      </c>
      <c r="I109" s="14">
        <v>23</v>
      </c>
      <c r="J109" s="14">
        <v>8</v>
      </c>
      <c r="K109" s="14">
        <v>23</v>
      </c>
      <c r="L109" s="14">
        <v>35</v>
      </c>
      <c r="M109" s="14">
        <v>11</v>
      </c>
    </row>
    <row r="110" spans="1:13" x14ac:dyDescent="0.2">
      <c r="A110" s="10" t="s">
        <v>677</v>
      </c>
      <c r="B110" s="16" t="s">
        <v>678</v>
      </c>
      <c r="C110" s="16" t="s">
        <v>548</v>
      </c>
      <c r="D110" s="14">
        <v>763</v>
      </c>
      <c r="E110" s="14">
        <v>551</v>
      </c>
      <c r="F110" s="14">
        <v>212</v>
      </c>
      <c r="G110" s="18">
        <v>27.8</v>
      </c>
      <c r="H110" s="14">
        <v>140</v>
      </c>
      <c r="I110" s="14">
        <v>124</v>
      </c>
      <c r="J110" s="14">
        <v>10</v>
      </c>
      <c r="K110" s="14">
        <v>21</v>
      </c>
      <c r="L110" s="14">
        <v>37</v>
      </c>
      <c r="M110" s="14">
        <v>4</v>
      </c>
    </row>
    <row r="111" spans="1:13" x14ac:dyDescent="0.2">
      <c r="A111" s="10" t="s">
        <v>679</v>
      </c>
      <c r="B111" s="16" t="s">
        <v>680</v>
      </c>
      <c r="C111" s="16" t="s">
        <v>548</v>
      </c>
      <c r="D111" s="14">
        <v>1120</v>
      </c>
      <c r="E111" s="14">
        <v>926</v>
      </c>
      <c r="F111" s="14">
        <v>194</v>
      </c>
      <c r="G111" s="18">
        <v>17.3</v>
      </c>
      <c r="H111" s="14">
        <v>85</v>
      </c>
      <c r="I111" s="14">
        <v>61</v>
      </c>
      <c r="J111" s="14">
        <v>9</v>
      </c>
      <c r="K111" s="14">
        <v>39</v>
      </c>
      <c r="L111" s="14">
        <v>46</v>
      </c>
      <c r="M111" s="14">
        <v>15</v>
      </c>
    </row>
    <row r="112" spans="1:13" x14ac:dyDescent="0.2">
      <c r="A112" s="10" t="s">
        <v>681</v>
      </c>
      <c r="B112" s="16" t="s">
        <v>682</v>
      </c>
      <c r="C112" s="16" t="s">
        <v>548</v>
      </c>
      <c r="D112" s="14">
        <v>731</v>
      </c>
      <c r="E112" s="14">
        <v>656</v>
      </c>
      <c r="F112" s="14">
        <v>75</v>
      </c>
      <c r="G112" s="18">
        <v>10.3</v>
      </c>
      <c r="H112" s="14">
        <v>17</v>
      </c>
      <c r="I112" s="14">
        <v>11</v>
      </c>
      <c r="J112" s="14">
        <v>3</v>
      </c>
      <c r="K112" s="14">
        <v>27</v>
      </c>
      <c r="L112" s="14">
        <v>19</v>
      </c>
      <c r="M112" s="14">
        <v>9</v>
      </c>
    </row>
    <row r="113" spans="1:13" s="23" customFormat="1" ht="15.75" x14ac:dyDescent="0.25">
      <c r="A113" s="21" t="s">
        <v>683</v>
      </c>
      <c r="B113" s="93" t="s">
        <v>684</v>
      </c>
      <c r="C113" s="93" t="s">
        <v>545</v>
      </c>
      <c r="D113" s="22">
        <v>7187</v>
      </c>
      <c r="E113" s="22">
        <v>5687</v>
      </c>
      <c r="F113" s="22">
        <v>1500</v>
      </c>
      <c r="G113" s="92">
        <v>20.9</v>
      </c>
      <c r="H113" s="22">
        <v>471</v>
      </c>
      <c r="I113" s="22">
        <v>341</v>
      </c>
      <c r="J113" s="22">
        <v>77</v>
      </c>
      <c r="K113" s="22">
        <v>391</v>
      </c>
      <c r="L113" s="22">
        <v>487</v>
      </c>
      <c r="M113" s="22">
        <v>74</v>
      </c>
    </row>
    <row r="114" spans="1:13" x14ac:dyDescent="0.2">
      <c r="A114" s="10" t="s">
        <v>685</v>
      </c>
      <c r="B114" s="16" t="s">
        <v>686</v>
      </c>
      <c r="C114" s="16" t="s">
        <v>548</v>
      </c>
      <c r="D114" s="14">
        <v>1112</v>
      </c>
      <c r="E114" s="14">
        <v>884</v>
      </c>
      <c r="F114" s="14">
        <v>228</v>
      </c>
      <c r="G114" s="18">
        <v>20.5</v>
      </c>
      <c r="H114" s="14">
        <v>64</v>
      </c>
      <c r="I114" s="14">
        <v>50</v>
      </c>
      <c r="J114" s="14">
        <v>16</v>
      </c>
      <c r="K114" s="14">
        <v>78</v>
      </c>
      <c r="L114" s="14">
        <v>60</v>
      </c>
      <c r="M114" s="14">
        <v>10</v>
      </c>
    </row>
    <row r="115" spans="1:13" x14ac:dyDescent="0.2">
      <c r="A115" s="10" t="s">
        <v>687</v>
      </c>
      <c r="B115" s="16" t="s">
        <v>688</v>
      </c>
      <c r="C115" s="16" t="s">
        <v>548</v>
      </c>
      <c r="D115" s="14">
        <v>1065</v>
      </c>
      <c r="E115" s="14">
        <v>898</v>
      </c>
      <c r="F115" s="14">
        <v>167</v>
      </c>
      <c r="G115" s="18">
        <v>15.7</v>
      </c>
      <c r="H115" s="14">
        <v>78</v>
      </c>
      <c r="I115" s="14">
        <v>60</v>
      </c>
      <c r="J115" s="14">
        <v>6</v>
      </c>
      <c r="K115" s="14">
        <v>34</v>
      </c>
      <c r="L115" s="14">
        <v>45</v>
      </c>
      <c r="M115" s="14">
        <v>4</v>
      </c>
    </row>
    <row r="116" spans="1:13" x14ac:dyDescent="0.2">
      <c r="A116" s="10" t="s">
        <v>689</v>
      </c>
      <c r="B116" s="16" t="s">
        <v>690</v>
      </c>
      <c r="C116" s="16" t="s">
        <v>548</v>
      </c>
      <c r="D116" s="14">
        <v>886</v>
      </c>
      <c r="E116" s="14">
        <v>666</v>
      </c>
      <c r="F116" s="14">
        <v>220</v>
      </c>
      <c r="G116" s="18">
        <v>24.8</v>
      </c>
      <c r="H116" s="14">
        <v>48</v>
      </c>
      <c r="I116" s="14">
        <v>27</v>
      </c>
      <c r="J116" s="14">
        <v>12</v>
      </c>
      <c r="K116" s="14">
        <v>50</v>
      </c>
      <c r="L116" s="14">
        <v>91</v>
      </c>
      <c r="M116" s="14">
        <v>19</v>
      </c>
    </row>
    <row r="117" spans="1:13" x14ac:dyDescent="0.2">
      <c r="A117" s="10" t="s">
        <v>691</v>
      </c>
      <c r="B117" s="16" t="s">
        <v>692</v>
      </c>
      <c r="C117" s="16" t="s">
        <v>548</v>
      </c>
      <c r="D117" s="14">
        <v>1068</v>
      </c>
      <c r="E117" s="14">
        <v>813</v>
      </c>
      <c r="F117" s="14">
        <v>255</v>
      </c>
      <c r="G117" s="18">
        <v>23.9</v>
      </c>
      <c r="H117" s="14">
        <v>55</v>
      </c>
      <c r="I117" s="14">
        <v>31</v>
      </c>
      <c r="J117" s="14">
        <v>10</v>
      </c>
      <c r="K117" s="14">
        <v>82</v>
      </c>
      <c r="L117" s="14">
        <v>95</v>
      </c>
      <c r="M117" s="14">
        <v>13</v>
      </c>
    </row>
    <row r="118" spans="1:13" x14ac:dyDescent="0.2">
      <c r="A118" s="10" t="s">
        <v>693</v>
      </c>
      <c r="B118" s="16" t="s">
        <v>694</v>
      </c>
      <c r="C118" s="16" t="s">
        <v>548</v>
      </c>
      <c r="D118" s="14">
        <v>975</v>
      </c>
      <c r="E118" s="14">
        <v>680</v>
      </c>
      <c r="F118" s="14">
        <v>295</v>
      </c>
      <c r="G118" s="18">
        <v>30.3</v>
      </c>
      <c r="H118" s="14">
        <v>114</v>
      </c>
      <c r="I118" s="14">
        <v>102</v>
      </c>
      <c r="J118" s="14">
        <v>22</v>
      </c>
      <c r="K118" s="14">
        <v>68</v>
      </c>
      <c r="L118" s="14">
        <v>86</v>
      </c>
      <c r="M118" s="14">
        <v>5</v>
      </c>
    </row>
    <row r="119" spans="1:13" x14ac:dyDescent="0.2">
      <c r="A119" s="10" t="s">
        <v>695</v>
      </c>
      <c r="B119" s="16" t="s">
        <v>696</v>
      </c>
      <c r="C119" s="16" t="s">
        <v>548</v>
      </c>
      <c r="D119" s="14">
        <v>1077</v>
      </c>
      <c r="E119" s="14">
        <v>920</v>
      </c>
      <c r="F119" s="14">
        <v>157</v>
      </c>
      <c r="G119" s="18">
        <v>14.6</v>
      </c>
      <c r="H119" s="14">
        <v>69</v>
      </c>
      <c r="I119" s="14">
        <v>56</v>
      </c>
      <c r="J119" s="14">
        <v>5</v>
      </c>
      <c r="K119" s="14">
        <v>41</v>
      </c>
      <c r="L119" s="14">
        <v>33</v>
      </c>
      <c r="M119" s="14">
        <v>9</v>
      </c>
    </row>
    <row r="120" spans="1:13" x14ac:dyDescent="0.2">
      <c r="A120" s="10" t="s">
        <v>697</v>
      </c>
      <c r="B120" s="16" t="s">
        <v>698</v>
      </c>
      <c r="C120" s="16" t="s">
        <v>548</v>
      </c>
      <c r="D120" s="14">
        <v>1004</v>
      </c>
      <c r="E120" s="14">
        <v>826</v>
      </c>
      <c r="F120" s="14">
        <v>178</v>
      </c>
      <c r="G120" s="18">
        <v>17.7</v>
      </c>
      <c r="H120" s="14">
        <v>43</v>
      </c>
      <c r="I120" s="14">
        <v>15</v>
      </c>
      <c r="J120" s="14">
        <v>6</v>
      </c>
      <c r="K120" s="14">
        <v>38</v>
      </c>
      <c r="L120" s="14">
        <v>77</v>
      </c>
      <c r="M120" s="14">
        <v>14</v>
      </c>
    </row>
    <row r="121" spans="1:13" s="23" customFormat="1" ht="15.75" x14ac:dyDescent="0.25">
      <c r="A121" s="21" t="s">
        <v>699</v>
      </c>
      <c r="B121" s="93" t="s">
        <v>700</v>
      </c>
      <c r="C121" s="93" t="s">
        <v>473</v>
      </c>
      <c r="D121" s="22">
        <v>62263</v>
      </c>
      <c r="E121" s="22">
        <v>39608</v>
      </c>
      <c r="F121" s="22">
        <v>22649</v>
      </c>
      <c r="G121" s="92">
        <v>36.4</v>
      </c>
      <c r="H121" s="22">
        <v>3727</v>
      </c>
      <c r="I121" s="22">
        <v>2706</v>
      </c>
      <c r="J121" s="22">
        <v>682</v>
      </c>
      <c r="K121" s="22">
        <v>5129</v>
      </c>
      <c r="L121" s="22">
        <v>12489</v>
      </c>
      <c r="M121" s="22">
        <v>622</v>
      </c>
    </row>
    <row r="122" spans="1:13" x14ac:dyDescent="0.2">
      <c r="A122" s="10" t="s">
        <v>701</v>
      </c>
      <c r="B122" s="16" t="s">
        <v>702</v>
      </c>
      <c r="C122" s="16" t="s">
        <v>476</v>
      </c>
      <c r="D122" s="14">
        <v>1397</v>
      </c>
      <c r="E122" s="14">
        <v>1140</v>
      </c>
      <c r="F122" s="14">
        <v>257</v>
      </c>
      <c r="G122" s="18">
        <v>18.399999999999999</v>
      </c>
      <c r="H122" s="14">
        <v>103</v>
      </c>
      <c r="I122" s="14">
        <v>76</v>
      </c>
      <c r="J122" s="14">
        <v>13</v>
      </c>
      <c r="K122" s="14">
        <v>26</v>
      </c>
      <c r="L122" s="14">
        <v>96</v>
      </c>
      <c r="M122" s="14">
        <v>19</v>
      </c>
    </row>
    <row r="123" spans="1:13" x14ac:dyDescent="0.2">
      <c r="A123" s="10" t="s">
        <v>703</v>
      </c>
      <c r="B123" s="16" t="s">
        <v>704</v>
      </c>
      <c r="C123" s="16" t="s">
        <v>476</v>
      </c>
      <c r="D123" s="14">
        <v>2328</v>
      </c>
      <c r="E123" s="14">
        <v>2037</v>
      </c>
      <c r="F123" s="14">
        <v>291</v>
      </c>
      <c r="G123" s="18">
        <v>12.5</v>
      </c>
      <c r="H123" s="14">
        <v>84</v>
      </c>
      <c r="I123" s="14">
        <v>59</v>
      </c>
      <c r="J123" s="14">
        <v>12</v>
      </c>
      <c r="K123" s="14">
        <v>45</v>
      </c>
      <c r="L123" s="14">
        <v>124</v>
      </c>
      <c r="M123" s="14">
        <v>26</v>
      </c>
    </row>
    <row r="124" spans="1:13" x14ac:dyDescent="0.2">
      <c r="A124" s="10" t="s">
        <v>705</v>
      </c>
      <c r="B124" s="16" t="s">
        <v>706</v>
      </c>
      <c r="C124" s="16" t="s">
        <v>476</v>
      </c>
      <c r="D124" s="14">
        <v>3049</v>
      </c>
      <c r="E124" s="14">
        <v>1866</v>
      </c>
      <c r="F124" s="14">
        <v>1183</v>
      </c>
      <c r="G124" s="18">
        <v>38.799999999999997</v>
      </c>
      <c r="H124" s="14">
        <v>164</v>
      </c>
      <c r="I124" s="14">
        <v>142</v>
      </c>
      <c r="J124" s="14">
        <v>31</v>
      </c>
      <c r="K124" s="14">
        <v>318</v>
      </c>
      <c r="L124" s="14">
        <v>640</v>
      </c>
      <c r="M124" s="14">
        <v>30</v>
      </c>
    </row>
    <row r="125" spans="1:13" x14ac:dyDescent="0.2">
      <c r="A125" s="10" t="s">
        <v>707</v>
      </c>
      <c r="B125" s="16" t="s">
        <v>708</v>
      </c>
      <c r="C125" s="16" t="s">
        <v>476</v>
      </c>
      <c r="D125" s="14">
        <v>1934</v>
      </c>
      <c r="E125" s="14">
        <v>1425</v>
      </c>
      <c r="F125" s="14">
        <v>509</v>
      </c>
      <c r="G125" s="18">
        <v>26.3</v>
      </c>
      <c r="H125" s="14">
        <v>128</v>
      </c>
      <c r="I125" s="14">
        <v>101</v>
      </c>
      <c r="J125" s="14">
        <v>22</v>
      </c>
      <c r="K125" s="14">
        <v>176</v>
      </c>
      <c r="L125" s="14">
        <v>168</v>
      </c>
      <c r="M125" s="14">
        <v>15</v>
      </c>
    </row>
    <row r="126" spans="1:13" s="23" customFormat="1" ht="15.75" x14ac:dyDescent="0.25">
      <c r="A126" s="21" t="s">
        <v>709</v>
      </c>
      <c r="B126" s="93" t="s">
        <v>710</v>
      </c>
      <c r="C126" s="93" t="s">
        <v>545</v>
      </c>
      <c r="D126" s="22">
        <v>7526</v>
      </c>
      <c r="E126" s="22">
        <v>6286</v>
      </c>
      <c r="F126" s="22">
        <v>1239</v>
      </c>
      <c r="G126" s="92">
        <v>16.5</v>
      </c>
      <c r="H126" s="22">
        <v>404</v>
      </c>
      <c r="I126" s="22">
        <v>300</v>
      </c>
      <c r="J126" s="22">
        <v>60</v>
      </c>
      <c r="K126" s="22">
        <v>210</v>
      </c>
      <c r="L126" s="22">
        <v>521</v>
      </c>
      <c r="M126" s="22">
        <v>44</v>
      </c>
    </row>
    <row r="127" spans="1:13" x14ac:dyDescent="0.2">
      <c r="A127" s="10" t="s">
        <v>711</v>
      </c>
      <c r="B127" s="16" t="s">
        <v>712</v>
      </c>
      <c r="C127" s="16" t="s">
        <v>548</v>
      </c>
      <c r="D127" s="14">
        <v>918</v>
      </c>
      <c r="E127" s="14">
        <v>816</v>
      </c>
      <c r="F127" s="14">
        <v>102</v>
      </c>
      <c r="G127" s="18">
        <v>11.1</v>
      </c>
      <c r="H127" s="14">
        <v>35</v>
      </c>
      <c r="I127" s="14">
        <v>26</v>
      </c>
      <c r="J127" s="14">
        <v>6</v>
      </c>
      <c r="K127" s="14">
        <v>23</v>
      </c>
      <c r="L127" s="14">
        <v>33</v>
      </c>
      <c r="M127" s="14">
        <v>5</v>
      </c>
    </row>
    <row r="128" spans="1:13" x14ac:dyDescent="0.2">
      <c r="A128" s="10" t="s">
        <v>713</v>
      </c>
      <c r="B128" s="16" t="s">
        <v>714</v>
      </c>
      <c r="C128" s="16" t="s">
        <v>548</v>
      </c>
      <c r="D128" s="14">
        <v>1265</v>
      </c>
      <c r="E128" s="14">
        <v>804</v>
      </c>
      <c r="F128" s="14">
        <v>461</v>
      </c>
      <c r="G128" s="18">
        <v>36.4</v>
      </c>
      <c r="H128" s="14">
        <v>158</v>
      </c>
      <c r="I128" s="14">
        <v>132</v>
      </c>
      <c r="J128" s="14">
        <v>17</v>
      </c>
      <c r="K128" s="14">
        <v>48</v>
      </c>
      <c r="L128" s="14">
        <v>235</v>
      </c>
      <c r="M128" s="14">
        <v>3</v>
      </c>
    </row>
    <row r="129" spans="1:13" x14ac:dyDescent="0.2">
      <c r="A129" s="10" t="s">
        <v>715</v>
      </c>
      <c r="B129" s="16" t="s">
        <v>716</v>
      </c>
      <c r="C129" s="16" t="s">
        <v>548</v>
      </c>
      <c r="D129" s="14">
        <v>944</v>
      </c>
      <c r="E129" s="14">
        <v>862</v>
      </c>
      <c r="F129" s="14">
        <v>82</v>
      </c>
      <c r="G129" s="18">
        <v>8.6999999999999993</v>
      </c>
      <c r="H129" s="14">
        <v>37</v>
      </c>
      <c r="I129" s="14">
        <v>17</v>
      </c>
      <c r="J129" s="14">
        <v>7</v>
      </c>
      <c r="K129" s="14">
        <v>10</v>
      </c>
      <c r="L129" s="14">
        <v>27</v>
      </c>
      <c r="M129" s="14">
        <v>1</v>
      </c>
    </row>
    <row r="130" spans="1:13" x14ac:dyDescent="0.2">
      <c r="A130" s="10" t="s">
        <v>717</v>
      </c>
      <c r="B130" s="16" t="s">
        <v>718</v>
      </c>
      <c r="C130" s="16" t="s">
        <v>548</v>
      </c>
      <c r="D130" s="14">
        <v>995</v>
      </c>
      <c r="E130" s="14">
        <v>815</v>
      </c>
      <c r="F130" s="14">
        <v>180</v>
      </c>
      <c r="G130" s="18">
        <v>18.100000000000001</v>
      </c>
      <c r="H130" s="14">
        <v>39</v>
      </c>
      <c r="I130" s="14">
        <v>24</v>
      </c>
      <c r="J130" s="14">
        <v>7</v>
      </c>
      <c r="K130" s="14">
        <v>50</v>
      </c>
      <c r="L130" s="14">
        <v>76</v>
      </c>
      <c r="M130" s="14">
        <v>8</v>
      </c>
    </row>
    <row r="131" spans="1:13" x14ac:dyDescent="0.2">
      <c r="A131" s="10" t="s">
        <v>719</v>
      </c>
      <c r="B131" s="16" t="s">
        <v>720</v>
      </c>
      <c r="C131" s="16" t="s">
        <v>548</v>
      </c>
      <c r="D131" s="14">
        <v>832</v>
      </c>
      <c r="E131" s="14">
        <v>779</v>
      </c>
      <c r="F131" s="14">
        <v>53</v>
      </c>
      <c r="G131" s="18">
        <v>6.4</v>
      </c>
      <c r="H131" s="14">
        <v>15</v>
      </c>
      <c r="I131" s="14">
        <v>10</v>
      </c>
      <c r="J131" s="14">
        <v>2</v>
      </c>
      <c r="K131" s="14">
        <v>10</v>
      </c>
      <c r="L131" s="14">
        <v>20</v>
      </c>
      <c r="M131" s="14">
        <v>6</v>
      </c>
    </row>
    <row r="132" spans="1:13" x14ac:dyDescent="0.2">
      <c r="A132" s="10" t="s">
        <v>721</v>
      </c>
      <c r="B132" s="16" t="s">
        <v>722</v>
      </c>
      <c r="C132" s="16" t="s">
        <v>548</v>
      </c>
      <c r="D132" s="14">
        <v>1178</v>
      </c>
      <c r="E132" s="14">
        <v>957</v>
      </c>
      <c r="F132" s="14">
        <v>221</v>
      </c>
      <c r="G132" s="18">
        <v>18.8</v>
      </c>
      <c r="H132" s="14">
        <v>51</v>
      </c>
      <c r="I132" s="14">
        <v>35</v>
      </c>
      <c r="J132" s="14">
        <v>12</v>
      </c>
      <c r="K132" s="14">
        <v>52</v>
      </c>
      <c r="L132" s="14">
        <v>92</v>
      </c>
      <c r="M132" s="14">
        <v>14</v>
      </c>
    </row>
    <row r="133" spans="1:13" x14ac:dyDescent="0.2">
      <c r="A133" s="10" t="s">
        <v>723</v>
      </c>
      <c r="B133" s="16" t="s">
        <v>724</v>
      </c>
      <c r="C133" s="16" t="s">
        <v>548</v>
      </c>
      <c r="D133" s="14">
        <v>668</v>
      </c>
      <c r="E133" s="14">
        <v>624</v>
      </c>
      <c r="F133" s="14">
        <v>44</v>
      </c>
      <c r="G133" s="18">
        <v>6.6</v>
      </c>
      <c r="H133" s="14">
        <v>15</v>
      </c>
      <c r="I133" s="14">
        <v>9</v>
      </c>
      <c r="J133" s="14">
        <v>3</v>
      </c>
      <c r="K133" s="14">
        <v>4</v>
      </c>
      <c r="L133" s="14">
        <v>19</v>
      </c>
      <c r="M133" s="14">
        <v>3</v>
      </c>
    </row>
    <row r="134" spans="1:13" x14ac:dyDescent="0.2">
      <c r="A134" s="10" t="s">
        <v>725</v>
      </c>
      <c r="B134" s="16" t="s">
        <v>726</v>
      </c>
      <c r="C134" s="16" t="s">
        <v>548</v>
      </c>
      <c r="D134" s="14">
        <v>726</v>
      </c>
      <c r="E134" s="14">
        <v>629</v>
      </c>
      <c r="F134" s="14">
        <v>96</v>
      </c>
      <c r="G134" s="18">
        <v>13.2</v>
      </c>
      <c r="H134" s="14">
        <v>54</v>
      </c>
      <c r="I134" s="14">
        <v>47</v>
      </c>
      <c r="J134" s="14">
        <v>6</v>
      </c>
      <c r="K134" s="14">
        <v>13</v>
      </c>
      <c r="L134" s="14">
        <v>19</v>
      </c>
      <c r="M134" s="14">
        <v>4</v>
      </c>
    </row>
    <row r="135" spans="1:13" s="23" customFormat="1" ht="15.75" x14ac:dyDescent="0.25">
      <c r="A135" s="21" t="s">
        <v>727</v>
      </c>
      <c r="B135" s="93" t="s">
        <v>728</v>
      </c>
      <c r="C135" s="93" t="s">
        <v>545</v>
      </c>
      <c r="D135" s="22">
        <v>5678</v>
      </c>
      <c r="E135" s="22">
        <v>4170</v>
      </c>
      <c r="F135" s="22">
        <v>1508</v>
      </c>
      <c r="G135" s="92">
        <v>26.6</v>
      </c>
      <c r="H135" s="22">
        <v>469</v>
      </c>
      <c r="I135" s="22">
        <v>340</v>
      </c>
      <c r="J135" s="22">
        <v>94</v>
      </c>
      <c r="K135" s="22">
        <v>265</v>
      </c>
      <c r="L135" s="22">
        <v>589</v>
      </c>
      <c r="M135" s="22">
        <v>91</v>
      </c>
    </row>
    <row r="136" spans="1:13" x14ac:dyDescent="0.2">
      <c r="A136" s="10" t="s">
        <v>729</v>
      </c>
      <c r="B136" s="16" t="s">
        <v>730</v>
      </c>
      <c r="C136" s="16" t="s">
        <v>548</v>
      </c>
      <c r="D136" s="14">
        <v>589</v>
      </c>
      <c r="E136" s="14">
        <v>530</v>
      </c>
      <c r="F136" s="14">
        <v>59</v>
      </c>
      <c r="G136" s="18">
        <v>10</v>
      </c>
      <c r="H136" s="14">
        <v>26</v>
      </c>
      <c r="I136" s="14">
        <v>19</v>
      </c>
      <c r="J136" s="14">
        <v>4</v>
      </c>
      <c r="K136" s="14">
        <v>4</v>
      </c>
      <c r="L136" s="14">
        <v>20</v>
      </c>
      <c r="M136" s="14">
        <v>5</v>
      </c>
    </row>
    <row r="137" spans="1:13" x14ac:dyDescent="0.2">
      <c r="A137" s="10" t="s">
        <v>731</v>
      </c>
      <c r="B137" s="16" t="s">
        <v>732</v>
      </c>
      <c r="C137" s="16" t="s">
        <v>548</v>
      </c>
      <c r="D137" s="14">
        <v>1500</v>
      </c>
      <c r="E137" s="14">
        <v>1072</v>
      </c>
      <c r="F137" s="14">
        <v>428</v>
      </c>
      <c r="G137" s="18">
        <v>28.5</v>
      </c>
      <c r="H137" s="14">
        <v>130</v>
      </c>
      <c r="I137" s="14">
        <v>107</v>
      </c>
      <c r="J137" s="14">
        <v>21</v>
      </c>
      <c r="K137" s="14">
        <v>98</v>
      </c>
      <c r="L137" s="14">
        <v>175</v>
      </c>
      <c r="M137" s="14">
        <v>4</v>
      </c>
    </row>
    <row r="138" spans="1:13" x14ac:dyDescent="0.2">
      <c r="A138" s="10" t="s">
        <v>733</v>
      </c>
      <c r="B138" s="16" t="s">
        <v>734</v>
      </c>
      <c r="C138" s="16" t="s">
        <v>548</v>
      </c>
      <c r="D138" s="14">
        <v>1139</v>
      </c>
      <c r="E138" s="14">
        <v>708</v>
      </c>
      <c r="F138" s="14">
        <v>431</v>
      </c>
      <c r="G138" s="18">
        <v>37.799999999999997</v>
      </c>
      <c r="H138" s="14">
        <v>139</v>
      </c>
      <c r="I138" s="14">
        <v>117</v>
      </c>
      <c r="J138" s="14">
        <v>23</v>
      </c>
      <c r="K138" s="14">
        <v>93</v>
      </c>
      <c r="L138" s="14">
        <v>154</v>
      </c>
      <c r="M138" s="14">
        <v>22</v>
      </c>
    </row>
    <row r="139" spans="1:13" x14ac:dyDescent="0.2">
      <c r="A139" s="10" t="s">
        <v>735</v>
      </c>
      <c r="B139" s="16" t="s">
        <v>736</v>
      </c>
      <c r="C139" s="16" t="s">
        <v>548</v>
      </c>
      <c r="D139" s="14">
        <v>1132</v>
      </c>
      <c r="E139" s="14">
        <v>920</v>
      </c>
      <c r="F139" s="14">
        <v>212</v>
      </c>
      <c r="G139" s="18">
        <v>18.7</v>
      </c>
      <c r="H139" s="14">
        <v>83</v>
      </c>
      <c r="I139" s="14">
        <v>47</v>
      </c>
      <c r="J139" s="14">
        <v>17</v>
      </c>
      <c r="K139" s="14">
        <v>29</v>
      </c>
      <c r="L139" s="14">
        <v>59</v>
      </c>
      <c r="M139" s="14">
        <v>24</v>
      </c>
    </row>
    <row r="140" spans="1:13" x14ac:dyDescent="0.2">
      <c r="A140" s="10" t="s">
        <v>737</v>
      </c>
      <c r="B140" s="16" t="s">
        <v>738</v>
      </c>
      <c r="C140" s="16" t="s">
        <v>548</v>
      </c>
      <c r="D140" s="14">
        <v>1318</v>
      </c>
      <c r="E140" s="14">
        <v>940</v>
      </c>
      <c r="F140" s="14">
        <v>378</v>
      </c>
      <c r="G140" s="18">
        <v>28.7</v>
      </c>
      <c r="H140" s="14">
        <v>91</v>
      </c>
      <c r="I140" s="14">
        <v>50</v>
      </c>
      <c r="J140" s="14">
        <v>29</v>
      </c>
      <c r="K140" s="14">
        <v>41</v>
      </c>
      <c r="L140" s="14">
        <v>181</v>
      </c>
      <c r="M140" s="14">
        <v>36</v>
      </c>
    </row>
    <row r="141" spans="1:13" s="23" customFormat="1" ht="15.75" x14ac:dyDescent="0.25">
      <c r="A141" s="21" t="s">
        <v>739</v>
      </c>
      <c r="B141" s="93" t="s">
        <v>740</v>
      </c>
      <c r="C141" s="93" t="s">
        <v>491</v>
      </c>
      <c r="D141" s="22">
        <v>35141</v>
      </c>
      <c r="E141" s="22">
        <v>18342</v>
      </c>
      <c r="F141" s="22">
        <v>16794</v>
      </c>
      <c r="G141" s="92">
        <v>47.8</v>
      </c>
      <c r="H141" s="22">
        <v>2116</v>
      </c>
      <c r="I141" s="22">
        <v>1497</v>
      </c>
      <c r="J141" s="22">
        <v>395</v>
      </c>
      <c r="K141" s="22">
        <v>3935</v>
      </c>
      <c r="L141" s="22">
        <v>9995</v>
      </c>
      <c r="M141" s="22">
        <v>353</v>
      </c>
    </row>
    <row r="142" spans="1:13" x14ac:dyDescent="0.2">
      <c r="A142" s="10" t="s">
        <v>741</v>
      </c>
      <c r="B142" s="16" t="s">
        <v>742</v>
      </c>
      <c r="C142" s="16" t="s">
        <v>494</v>
      </c>
      <c r="D142" s="14">
        <v>14922</v>
      </c>
      <c r="E142" s="14">
        <v>6986</v>
      </c>
      <c r="F142" s="14">
        <v>7934</v>
      </c>
      <c r="G142" s="18">
        <v>53.2</v>
      </c>
      <c r="H142" s="14">
        <v>928</v>
      </c>
      <c r="I142" s="14">
        <v>573</v>
      </c>
      <c r="J142" s="14">
        <v>183</v>
      </c>
      <c r="K142" s="14">
        <v>1890</v>
      </c>
      <c r="L142" s="14">
        <v>4744</v>
      </c>
      <c r="M142" s="14">
        <v>189</v>
      </c>
    </row>
    <row r="143" spans="1:13" x14ac:dyDescent="0.2">
      <c r="A143" s="10" t="s">
        <v>743</v>
      </c>
      <c r="B143" s="16" t="s">
        <v>744</v>
      </c>
      <c r="C143" s="16" t="s">
        <v>494</v>
      </c>
      <c r="D143" s="14">
        <v>3982</v>
      </c>
      <c r="E143" s="14">
        <v>1721</v>
      </c>
      <c r="F143" s="14">
        <v>2260</v>
      </c>
      <c r="G143" s="18">
        <v>56.8</v>
      </c>
      <c r="H143" s="14">
        <v>392</v>
      </c>
      <c r="I143" s="14">
        <v>330</v>
      </c>
      <c r="J143" s="14">
        <v>62</v>
      </c>
      <c r="K143" s="14">
        <v>691</v>
      </c>
      <c r="L143" s="14">
        <v>1093</v>
      </c>
      <c r="M143" s="14">
        <v>22</v>
      </c>
    </row>
    <row r="144" spans="1:13" x14ac:dyDescent="0.2">
      <c r="A144" s="10" t="s">
        <v>745</v>
      </c>
      <c r="B144" s="16" t="s">
        <v>746</v>
      </c>
      <c r="C144" s="16" t="s">
        <v>494</v>
      </c>
      <c r="D144" s="14">
        <v>3337</v>
      </c>
      <c r="E144" s="14">
        <v>2497</v>
      </c>
      <c r="F144" s="14">
        <v>840</v>
      </c>
      <c r="G144" s="18">
        <v>25.2</v>
      </c>
      <c r="H144" s="14">
        <v>131</v>
      </c>
      <c r="I144" s="14">
        <v>91</v>
      </c>
      <c r="J144" s="14">
        <v>24</v>
      </c>
      <c r="K144" s="14">
        <v>190</v>
      </c>
      <c r="L144" s="14">
        <v>467</v>
      </c>
      <c r="M144" s="14">
        <v>28</v>
      </c>
    </row>
    <row r="145" spans="1:13" x14ac:dyDescent="0.2">
      <c r="A145" s="10" t="s">
        <v>747</v>
      </c>
      <c r="B145" s="16" t="s">
        <v>748</v>
      </c>
      <c r="C145" s="16" t="s">
        <v>494</v>
      </c>
      <c r="D145" s="14">
        <v>4482</v>
      </c>
      <c r="E145" s="14">
        <v>2025</v>
      </c>
      <c r="F145" s="14">
        <v>2456</v>
      </c>
      <c r="G145" s="18">
        <v>54.8</v>
      </c>
      <c r="H145" s="14">
        <v>263</v>
      </c>
      <c r="I145" s="14">
        <v>195</v>
      </c>
      <c r="J145" s="14">
        <v>57</v>
      </c>
      <c r="K145" s="14">
        <v>391</v>
      </c>
      <c r="L145" s="14">
        <v>1697</v>
      </c>
      <c r="M145" s="14">
        <v>48</v>
      </c>
    </row>
    <row r="146" spans="1:13" x14ac:dyDescent="0.2">
      <c r="A146" s="10" t="s">
        <v>749</v>
      </c>
      <c r="B146" s="16" t="s">
        <v>750</v>
      </c>
      <c r="C146" s="16" t="s">
        <v>494</v>
      </c>
      <c r="D146" s="14">
        <v>1875</v>
      </c>
      <c r="E146" s="14">
        <v>1487</v>
      </c>
      <c r="F146" s="14">
        <v>388</v>
      </c>
      <c r="G146" s="18">
        <v>20.7</v>
      </c>
      <c r="H146" s="14">
        <v>66</v>
      </c>
      <c r="I146" s="14">
        <v>33</v>
      </c>
      <c r="J146" s="14">
        <v>27</v>
      </c>
      <c r="K146" s="14">
        <v>60</v>
      </c>
      <c r="L146" s="14">
        <v>217</v>
      </c>
      <c r="M146" s="14">
        <v>18</v>
      </c>
    </row>
    <row r="147" spans="1:13" x14ac:dyDescent="0.2">
      <c r="A147" s="10" t="s">
        <v>751</v>
      </c>
      <c r="B147" s="16" t="s">
        <v>752</v>
      </c>
      <c r="C147" s="16" t="s">
        <v>494</v>
      </c>
      <c r="D147" s="14">
        <v>3279</v>
      </c>
      <c r="E147" s="14">
        <v>2047</v>
      </c>
      <c r="F147" s="14">
        <v>1232</v>
      </c>
      <c r="G147" s="18">
        <v>37.6</v>
      </c>
      <c r="H147" s="14">
        <v>147</v>
      </c>
      <c r="I147" s="14">
        <v>121</v>
      </c>
      <c r="J147" s="14">
        <v>19</v>
      </c>
      <c r="K147" s="14">
        <v>288</v>
      </c>
      <c r="L147" s="14">
        <v>755</v>
      </c>
      <c r="M147" s="14">
        <v>23</v>
      </c>
    </row>
    <row r="148" spans="1:13" x14ac:dyDescent="0.2">
      <c r="A148" s="10" t="s">
        <v>753</v>
      </c>
      <c r="B148" s="16" t="s">
        <v>754</v>
      </c>
      <c r="C148" s="16" t="s">
        <v>494</v>
      </c>
      <c r="D148" s="14">
        <v>3264</v>
      </c>
      <c r="E148" s="14">
        <v>1579</v>
      </c>
      <c r="F148" s="14">
        <v>1684</v>
      </c>
      <c r="G148" s="18">
        <v>51.6</v>
      </c>
      <c r="H148" s="14">
        <v>189</v>
      </c>
      <c r="I148" s="14">
        <v>154</v>
      </c>
      <c r="J148" s="14">
        <v>23</v>
      </c>
      <c r="K148" s="14">
        <v>425</v>
      </c>
      <c r="L148" s="14">
        <v>1022</v>
      </c>
      <c r="M148" s="14">
        <v>25</v>
      </c>
    </row>
    <row r="149" spans="1:13" s="23" customFormat="1" ht="15.75" x14ac:dyDescent="0.25">
      <c r="A149" s="21" t="s">
        <v>755</v>
      </c>
      <c r="B149" s="93" t="s">
        <v>756</v>
      </c>
      <c r="C149" s="93" t="s">
        <v>545</v>
      </c>
      <c r="D149" s="22">
        <v>5210</v>
      </c>
      <c r="E149" s="22">
        <v>4342</v>
      </c>
      <c r="F149" s="22">
        <v>868</v>
      </c>
      <c r="G149" s="92">
        <v>16.7</v>
      </c>
      <c r="H149" s="22">
        <v>259</v>
      </c>
      <c r="I149" s="22">
        <v>191</v>
      </c>
      <c r="J149" s="22">
        <v>55</v>
      </c>
      <c r="K149" s="22">
        <v>154</v>
      </c>
      <c r="L149" s="22">
        <v>356</v>
      </c>
      <c r="M149" s="22">
        <v>44</v>
      </c>
    </row>
    <row r="150" spans="1:13" x14ac:dyDescent="0.2">
      <c r="A150" s="10" t="s">
        <v>757</v>
      </c>
      <c r="B150" s="16" t="s">
        <v>758</v>
      </c>
      <c r="C150" s="16" t="s">
        <v>548</v>
      </c>
      <c r="D150" s="14">
        <v>845</v>
      </c>
      <c r="E150" s="14">
        <v>772</v>
      </c>
      <c r="F150" s="14">
        <v>73</v>
      </c>
      <c r="G150" s="18">
        <v>8.6</v>
      </c>
      <c r="H150" s="14">
        <v>17</v>
      </c>
      <c r="I150" s="14">
        <v>6</v>
      </c>
      <c r="J150" s="14">
        <v>5</v>
      </c>
      <c r="K150" s="14">
        <v>12</v>
      </c>
      <c r="L150" s="14">
        <v>30</v>
      </c>
      <c r="M150" s="14">
        <v>9</v>
      </c>
    </row>
    <row r="151" spans="1:13" x14ac:dyDescent="0.2">
      <c r="A151" s="10" t="s">
        <v>759</v>
      </c>
      <c r="B151" s="16" t="s">
        <v>760</v>
      </c>
      <c r="C151" s="16" t="s">
        <v>548</v>
      </c>
      <c r="D151" s="14">
        <v>563</v>
      </c>
      <c r="E151" s="14">
        <v>499</v>
      </c>
      <c r="F151" s="14">
        <v>64</v>
      </c>
      <c r="G151" s="18">
        <v>11.4</v>
      </c>
      <c r="H151" s="14">
        <v>15</v>
      </c>
      <c r="I151" s="14">
        <v>6</v>
      </c>
      <c r="J151" s="14">
        <v>9</v>
      </c>
      <c r="K151" s="14">
        <v>17</v>
      </c>
      <c r="L151" s="14">
        <v>22</v>
      </c>
      <c r="M151" s="14">
        <v>1</v>
      </c>
    </row>
    <row r="152" spans="1:13" x14ac:dyDescent="0.2">
      <c r="A152" s="10" t="s">
        <v>761</v>
      </c>
      <c r="B152" s="16" t="s">
        <v>762</v>
      </c>
      <c r="C152" s="16" t="s">
        <v>548</v>
      </c>
      <c r="D152" s="14">
        <v>831</v>
      </c>
      <c r="E152" s="14">
        <v>665</v>
      </c>
      <c r="F152" s="14">
        <v>166</v>
      </c>
      <c r="G152" s="18">
        <v>20</v>
      </c>
      <c r="H152" s="14">
        <v>56</v>
      </c>
      <c r="I152" s="14">
        <v>49</v>
      </c>
      <c r="J152" s="14">
        <v>5</v>
      </c>
      <c r="K152" s="14">
        <v>25</v>
      </c>
      <c r="L152" s="14">
        <v>73</v>
      </c>
      <c r="M152" s="14">
        <v>7</v>
      </c>
    </row>
    <row r="153" spans="1:13" x14ac:dyDescent="0.2">
      <c r="A153" s="10" t="s">
        <v>763</v>
      </c>
      <c r="B153" s="16" t="s">
        <v>764</v>
      </c>
      <c r="C153" s="16" t="s">
        <v>548</v>
      </c>
      <c r="D153" s="14">
        <v>1008</v>
      </c>
      <c r="E153" s="14">
        <v>707</v>
      </c>
      <c r="F153" s="14">
        <v>301</v>
      </c>
      <c r="G153" s="18">
        <v>29.9</v>
      </c>
      <c r="H153" s="14">
        <v>71</v>
      </c>
      <c r="I153" s="14">
        <v>49</v>
      </c>
      <c r="J153" s="14">
        <v>12</v>
      </c>
      <c r="K153" s="14">
        <v>62</v>
      </c>
      <c r="L153" s="14">
        <v>144</v>
      </c>
      <c r="M153" s="14">
        <v>12</v>
      </c>
    </row>
    <row r="154" spans="1:13" x14ac:dyDescent="0.2">
      <c r="A154" s="10" t="s">
        <v>765</v>
      </c>
      <c r="B154" s="16" t="s">
        <v>766</v>
      </c>
      <c r="C154" s="16" t="s">
        <v>548</v>
      </c>
      <c r="D154" s="14">
        <v>1113</v>
      </c>
      <c r="E154" s="14">
        <v>949</v>
      </c>
      <c r="F154" s="14">
        <v>164</v>
      </c>
      <c r="G154" s="18">
        <v>14.7</v>
      </c>
      <c r="H154" s="14">
        <v>72</v>
      </c>
      <c r="I154" s="14">
        <v>64</v>
      </c>
      <c r="J154" s="14">
        <v>17</v>
      </c>
      <c r="K154" s="14">
        <v>17</v>
      </c>
      <c r="L154" s="14">
        <v>46</v>
      </c>
      <c r="M154" s="14">
        <v>12</v>
      </c>
    </row>
    <row r="155" spans="1:13" x14ac:dyDescent="0.2">
      <c r="A155" s="10" t="s">
        <v>767</v>
      </c>
      <c r="B155" s="16" t="s">
        <v>768</v>
      </c>
      <c r="C155" s="16" t="s">
        <v>548</v>
      </c>
      <c r="D155" s="14">
        <v>850</v>
      </c>
      <c r="E155" s="14">
        <v>750</v>
      </c>
      <c r="F155" s="14">
        <v>100</v>
      </c>
      <c r="G155" s="18">
        <v>11.8</v>
      </c>
      <c r="H155" s="14">
        <v>28</v>
      </c>
      <c r="I155" s="14">
        <v>17</v>
      </c>
      <c r="J155" s="14">
        <v>7</v>
      </c>
      <c r="K155" s="14">
        <v>21</v>
      </c>
      <c r="L155" s="14">
        <v>41</v>
      </c>
      <c r="M155" s="14">
        <v>3</v>
      </c>
    </row>
    <row r="156" spans="1:13" s="23" customFormat="1" ht="15.75" x14ac:dyDescent="0.25">
      <c r="A156" s="21" t="s">
        <v>769</v>
      </c>
      <c r="B156" s="93" t="s">
        <v>770</v>
      </c>
      <c r="C156" s="93" t="s">
        <v>473</v>
      </c>
      <c r="D156" s="22">
        <v>61911</v>
      </c>
      <c r="E156" s="22">
        <v>42274</v>
      </c>
      <c r="F156" s="22">
        <v>19633</v>
      </c>
      <c r="G156" s="92">
        <v>31.7</v>
      </c>
      <c r="H156" s="22">
        <v>5637</v>
      </c>
      <c r="I156" s="22">
        <v>3828</v>
      </c>
      <c r="J156" s="22">
        <v>1444</v>
      </c>
      <c r="K156" s="22">
        <v>3909</v>
      </c>
      <c r="L156" s="22">
        <v>7146</v>
      </c>
      <c r="M156" s="22">
        <v>1497</v>
      </c>
    </row>
    <row r="157" spans="1:13" x14ac:dyDescent="0.2">
      <c r="A157" s="10" t="s">
        <v>771</v>
      </c>
      <c r="B157" s="16" t="s">
        <v>772</v>
      </c>
      <c r="C157" s="16" t="s">
        <v>476</v>
      </c>
      <c r="D157" s="14">
        <v>2061</v>
      </c>
      <c r="E157" s="14">
        <v>1251</v>
      </c>
      <c r="F157" s="14">
        <v>809</v>
      </c>
      <c r="G157" s="18">
        <v>39.299999999999997</v>
      </c>
      <c r="H157" s="14">
        <v>209</v>
      </c>
      <c r="I157" s="14">
        <v>159</v>
      </c>
      <c r="J157" s="14">
        <v>22</v>
      </c>
      <c r="K157" s="14">
        <v>208</v>
      </c>
      <c r="L157" s="14">
        <v>341</v>
      </c>
      <c r="M157" s="14">
        <v>29</v>
      </c>
    </row>
    <row r="158" spans="1:13" x14ac:dyDescent="0.2">
      <c r="A158" s="10" t="s">
        <v>773</v>
      </c>
      <c r="B158" s="16" t="s">
        <v>774</v>
      </c>
      <c r="C158" s="16" t="s">
        <v>476</v>
      </c>
      <c r="D158" s="14">
        <v>3399</v>
      </c>
      <c r="E158" s="14">
        <v>2538</v>
      </c>
      <c r="F158" s="14">
        <v>861</v>
      </c>
      <c r="G158" s="18">
        <v>25.3</v>
      </c>
      <c r="H158" s="14">
        <v>334</v>
      </c>
      <c r="I158" s="14">
        <v>235</v>
      </c>
      <c r="J158" s="14">
        <v>57</v>
      </c>
      <c r="K158" s="14">
        <v>153</v>
      </c>
      <c r="L158" s="14">
        <v>259</v>
      </c>
      <c r="M158" s="14">
        <v>58</v>
      </c>
    </row>
    <row r="159" spans="1:13" x14ac:dyDescent="0.2">
      <c r="A159" s="10" t="s">
        <v>775</v>
      </c>
      <c r="B159" s="16" t="s">
        <v>776</v>
      </c>
      <c r="C159" s="16" t="s">
        <v>476</v>
      </c>
      <c r="D159" s="14">
        <v>3481</v>
      </c>
      <c r="E159" s="14">
        <v>1092</v>
      </c>
      <c r="F159" s="14">
        <v>2389</v>
      </c>
      <c r="G159" s="18">
        <v>68.599999999999994</v>
      </c>
      <c r="H159" s="14">
        <v>345</v>
      </c>
      <c r="I159" s="14">
        <v>278</v>
      </c>
      <c r="J159" s="14">
        <v>114</v>
      </c>
      <c r="K159" s="14">
        <v>380</v>
      </c>
      <c r="L159" s="14">
        <v>1510</v>
      </c>
      <c r="M159" s="14">
        <v>40</v>
      </c>
    </row>
    <row r="160" spans="1:13" x14ac:dyDescent="0.2">
      <c r="A160" s="10" t="s">
        <v>777</v>
      </c>
      <c r="B160" s="16" t="s">
        <v>778</v>
      </c>
      <c r="C160" s="16" t="s">
        <v>476</v>
      </c>
      <c r="D160" s="14">
        <v>2501</v>
      </c>
      <c r="E160" s="14">
        <v>1094</v>
      </c>
      <c r="F160" s="14">
        <v>1407</v>
      </c>
      <c r="G160" s="18">
        <v>56.3</v>
      </c>
      <c r="H160" s="14">
        <v>450</v>
      </c>
      <c r="I160" s="14">
        <v>364</v>
      </c>
      <c r="J160" s="14">
        <v>42</v>
      </c>
      <c r="K160" s="14">
        <v>268</v>
      </c>
      <c r="L160" s="14">
        <v>596</v>
      </c>
      <c r="M160" s="14">
        <v>51</v>
      </c>
    </row>
    <row r="161" spans="1:13" x14ac:dyDescent="0.2">
      <c r="A161" s="10" t="s">
        <v>779</v>
      </c>
      <c r="B161" s="16" t="s">
        <v>780</v>
      </c>
      <c r="C161" s="16" t="s">
        <v>476</v>
      </c>
      <c r="D161" s="14">
        <v>1730</v>
      </c>
      <c r="E161" s="14">
        <v>1206</v>
      </c>
      <c r="F161" s="14">
        <v>524</v>
      </c>
      <c r="G161" s="18">
        <v>30.3</v>
      </c>
      <c r="H161" s="14">
        <v>121</v>
      </c>
      <c r="I161" s="14">
        <v>82</v>
      </c>
      <c r="J161" s="14">
        <v>45</v>
      </c>
      <c r="K161" s="14">
        <v>138</v>
      </c>
      <c r="L161" s="14">
        <v>194</v>
      </c>
      <c r="M161" s="14">
        <v>26</v>
      </c>
    </row>
    <row r="162" spans="1:13" x14ac:dyDescent="0.2">
      <c r="A162" s="10" t="s">
        <v>781</v>
      </c>
      <c r="B162" s="16" t="s">
        <v>782</v>
      </c>
      <c r="C162" s="16" t="s">
        <v>476</v>
      </c>
      <c r="D162" s="14">
        <v>2010</v>
      </c>
      <c r="E162" s="14">
        <v>1132</v>
      </c>
      <c r="F162" s="14">
        <v>878</v>
      </c>
      <c r="G162" s="18">
        <v>43.7</v>
      </c>
      <c r="H162" s="14">
        <v>258</v>
      </c>
      <c r="I162" s="14">
        <v>227</v>
      </c>
      <c r="J162" s="14">
        <v>115</v>
      </c>
      <c r="K162" s="14">
        <v>251</v>
      </c>
      <c r="L162" s="14">
        <v>231</v>
      </c>
      <c r="M162" s="14">
        <v>23</v>
      </c>
    </row>
    <row r="163" spans="1:13" s="23" customFormat="1" ht="15.75" x14ac:dyDescent="0.25">
      <c r="A163" s="21" t="s">
        <v>783</v>
      </c>
      <c r="B163" s="93" t="s">
        <v>784</v>
      </c>
      <c r="C163" s="93" t="s">
        <v>545</v>
      </c>
      <c r="D163" s="22">
        <v>6156</v>
      </c>
      <c r="E163" s="22">
        <v>4068</v>
      </c>
      <c r="F163" s="22">
        <v>2086</v>
      </c>
      <c r="G163" s="92">
        <v>33.9</v>
      </c>
      <c r="H163" s="22">
        <v>665</v>
      </c>
      <c r="I163" s="22">
        <v>371</v>
      </c>
      <c r="J163" s="22">
        <v>146</v>
      </c>
      <c r="K163" s="22">
        <v>321</v>
      </c>
      <c r="L163" s="22">
        <v>709</v>
      </c>
      <c r="M163" s="22">
        <v>245</v>
      </c>
    </row>
    <row r="164" spans="1:13" x14ac:dyDescent="0.2">
      <c r="A164" s="10" t="s">
        <v>785</v>
      </c>
      <c r="B164" s="16" t="s">
        <v>786</v>
      </c>
      <c r="C164" s="16" t="s">
        <v>548</v>
      </c>
      <c r="D164" s="14">
        <v>1109</v>
      </c>
      <c r="E164" s="14">
        <v>435</v>
      </c>
      <c r="F164" s="14">
        <v>672</v>
      </c>
      <c r="G164" s="18">
        <v>60.6</v>
      </c>
      <c r="H164" s="14">
        <v>195</v>
      </c>
      <c r="I164" s="14">
        <v>70</v>
      </c>
      <c r="J164" s="14">
        <v>51</v>
      </c>
      <c r="K164" s="14">
        <v>63</v>
      </c>
      <c r="L164" s="14">
        <v>260</v>
      </c>
      <c r="M164" s="14">
        <v>103</v>
      </c>
    </row>
    <row r="165" spans="1:13" x14ac:dyDescent="0.2">
      <c r="A165" s="10" t="s">
        <v>787</v>
      </c>
      <c r="B165" s="16" t="s">
        <v>788</v>
      </c>
      <c r="C165" s="16" t="s">
        <v>548</v>
      </c>
      <c r="D165" s="14">
        <v>828</v>
      </c>
      <c r="E165" s="14">
        <v>621</v>
      </c>
      <c r="F165" s="14">
        <v>207</v>
      </c>
      <c r="G165" s="18">
        <v>25</v>
      </c>
      <c r="H165" s="14">
        <v>78</v>
      </c>
      <c r="I165" s="14">
        <v>56</v>
      </c>
      <c r="J165" s="14">
        <v>15</v>
      </c>
      <c r="K165" s="14">
        <v>36</v>
      </c>
      <c r="L165" s="14">
        <v>45</v>
      </c>
      <c r="M165" s="14">
        <v>33</v>
      </c>
    </row>
    <row r="166" spans="1:13" x14ac:dyDescent="0.2">
      <c r="A166" s="10" t="s">
        <v>789</v>
      </c>
      <c r="B166" s="16" t="s">
        <v>790</v>
      </c>
      <c r="C166" s="16" t="s">
        <v>548</v>
      </c>
      <c r="D166" s="14">
        <v>905</v>
      </c>
      <c r="E166" s="14">
        <v>715</v>
      </c>
      <c r="F166" s="14">
        <v>190</v>
      </c>
      <c r="G166" s="18">
        <v>21</v>
      </c>
      <c r="H166" s="14">
        <v>101</v>
      </c>
      <c r="I166" s="14">
        <v>89</v>
      </c>
      <c r="J166" s="14">
        <v>10</v>
      </c>
      <c r="K166" s="14">
        <v>37</v>
      </c>
      <c r="L166" s="14">
        <v>32</v>
      </c>
      <c r="M166" s="14">
        <v>10</v>
      </c>
    </row>
    <row r="167" spans="1:13" x14ac:dyDescent="0.2">
      <c r="A167" s="10" t="s">
        <v>791</v>
      </c>
      <c r="B167" s="16" t="s">
        <v>792</v>
      </c>
      <c r="C167" s="16" t="s">
        <v>548</v>
      </c>
      <c r="D167" s="14">
        <v>1738</v>
      </c>
      <c r="E167" s="14">
        <v>1289</v>
      </c>
      <c r="F167" s="14">
        <v>449</v>
      </c>
      <c r="G167" s="18">
        <v>25.8</v>
      </c>
      <c r="H167" s="14">
        <v>130</v>
      </c>
      <c r="I167" s="14">
        <v>86</v>
      </c>
      <c r="J167" s="14">
        <v>32</v>
      </c>
      <c r="K167" s="14">
        <v>108</v>
      </c>
      <c r="L167" s="14">
        <v>136</v>
      </c>
      <c r="M167" s="14">
        <v>43</v>
      </c>
    </row>
    <row r="168" spans="1:13" x14ac:dyDescent="0.2">
      <c r="A168" s="10" t="s">
        <v>793</v>
      </c>
      <c r="B168" s="16" t="s">
        <v>794</v>
      </c>
      <c r="C168" s="16" t="s">
        <v>548</v>
      </c>
      <c r="D168" s="14">
        <v>1576</v>
      </c>
      <c r="E168" s="14">
        <v>1008</v>
      </c>
      <c r="F168" s="14">
        <v>568</v>
      </c>
      <c r="G168" s="18">
        <v>36</v>
      </c>
      <c r="H168" s="14">
        <v>161</v>
      </c>
      <c r="I168" s="14">
        <v>70</v>
      </c>
      <c r="J168" s="14">
        <v>38</v>
      </c>
      <c r="K168" s="14">
        <v>77</v>
      </c>
      <c r="L168" s="14">
        <v>236</v>
      </c>
      <c r="M168" s="14">
        <v>56</v>
      </c>
    </row>
    <row r="169" spans="1:13" s="23" customFormat="1" ht="15.75" x14ac:dyDescent="0.25">
      <c r="A169" s="21" t="s">
        <v>795</v>
      </c>
      <c r="B169" s="93" t="s">
        <v>796</v>
      </c>
      <c r="C169" s="93" t="s">
        <v>545</v>
      </c>
      <c r="D169" s="22">
        <v>14837</v>
      </c>
      <c r="E169" s="22">
        <v>11498</v>
      </c>
      <c r="F169" s="22">
        <v>3339</v>
      </c>
      <c r="G169" s="92">
        <v>22.5</v>
      </c>
      <c r="H169" s="22">
        <v>922</v>
      </c>
      <c r="I169" s="22">
        <v>608</v>
      </c>
      <c r="J169" s="22">
        <v>364</v>
      </c>
      <c r="K169" s="22">
        <v>820</v>
      </c>
      <c r="L169" s="22">
        <v>1042</v>
      </c>
      <c r="M169" s="22">
        <v>191</v>
      </c>
    </row>
    <row r="170" spans="1:13" x14ac:dyDescent="0.2">
      <c r="A170" s="10" t="s">
        <v>797</v>
      </c>
      <c r="B170" s="16" t="s">
        <v>798</v>
      </c>
      <c r="C170" s="16" t="s">
        <v>548</v>
      </c>
      <c r="D170" s="14">
        <v>2036</v>
      </c>
      <c r="E170" s="14">
        <v>1485</v>
      </c>
      <c r="F170" s="14">
        <v>551</v>
      </c>
      <c r="G170" s="18">
        <v>27.1</v>
      </c>
      <c r="H170" s="14">
        <v>125</v>
      </c>
      <c r="I170" s="14">
        <v>98</v>
      </c>
      <c r="J170" s="14">
        <v>70</v>
      </c>
      <c r="K170" s="14">
        <v>171</v>
      </c>
      <c r="L170" s="14">
        <v>169</v>
      </c>
      <c r="M170" s="14">
        <v>16</v>
      </c>
    </row>
    <row r="171" spans="1:13" x14ac:dyDescent="0.2">
      <c r="A171" s="10" t="s">
        <v>799</v>
      </c>
      <c r="B171" s="16" t="s">
        <v>800</v>
      </c>
      <c r="C171" s="16" t="s">
        <v>548</v>
      </c>
      <c r="D171" s="14">
        <v>1608</v>
      </c>
      <c r="E171" s="14">
        <v>1380</v>
      </c>
      <c r="F171" s="14">
        <v>228</v>
      </c>
      <c r="G171" s="18">
        <v>14.2</v>
      </c>
      <c r="H171" s="14">
        <v>80</v>
      </c>
      <c r="I171" s="14">
        <v>52</v>
      </c>
      <c r="J171" s="14">
        <v>23</v>
      </c>
      <c r="K171" s="14">
        <v>57</v>
      </c>
      <c r="L171" s="14">
        <v>54</v>
      </c>
      <c r="M171" s="14">
        <v>14</v>
      </c>
    </row>
    <row r="172" spans="1:13" x14ac:dyDescent="0.2">
      <c r="A172" s="10" t="s">
        <v>801</v>
      </c>
      <c r="B172" s="16" t="s">
        <v>802</v>
      </c>
      <c r="C172" s="16" t="s">
        <v>548</v>
      </c>
      <c r="D172" s="14">
        <v>783</v>
      </c>
      <c r="E172" s="14">
        <v>595</v>
      </c>
      <c r="F172" s="14">
        <v>188</v>
      </c>
      <c r="G172" s="18">
        <v>24</v>
      </c>
      <c r="H172" s="14">
        <v>49</v>
      </c>
      <c r="I172" s="14">
        <v>27</v>
      </c>
      <c r="J172" s="14">
        <v>17</v>
      </c>
      <c r="K172" s="14">
        <v>39</v>
      </c>
      <c r="L172" s="14">
        <v>62</v>
      </c>
      <c r="M172" s="14">
        <v>21</v>
      </c>
    </row>
    <row r="173" spans="1:13" x14ac:dyDescent="0.2">
      <c r="A173" s="10" t="s">
        <v>803</v>
      </c>
      <c r="B173" s="16" t="s">
        <v>804</v>
      </c>
      <c r="C173" s="16" t="s">
        <v>548</v>
      </c>
      <c r="D173" s="14">
        <v>750</v>
      </c>
      <c r="E173" s="14">
        <v>665</v>
      </c>
      <c r="F173" s="14">
        <v>85</v>
      </c>
      <c r="G173" s="18">
        <v>11.3</v>
      </c>
      <c r="H173" s="14">
        <v>20</v>
      </c>
      <c r="I173" s="14">
        <v>16</v>
      </c>
      <c r="J173" s="14">
        <v>14</v>
      </c>
      <c r="K173" s="14">
        <v>20</v>
      </c>
      <c r="L173" s="14">
        <v>26</v>
      </c>
      <c r="M173" s="14">
        <v>5</v>
      </c>
    </row>
    <row r="174" spans="1:13" x14ac:dyDescent="0.2">
      <c r="A174" s="10" t="s">
        <v>805</v>
      </c>
      <c r="B174" s="16" t="s">
        <v>806</v>
      </c>
      <c r="C174" s="16" t="s">
        <v>548</v>
      </c>
      <c r="D174" s="14">
        <v>1729</v>
      </c>
      <c r="E174" s="14">
        <v>1283</v>
      </c>
      <c r="F174" s="14">
        <v>446</v>
      </c>
      <c r="G174" s="18">
        <v>25.8</v>
      </c>
      <c r="H174" s="14">
        <v>112</v>
      </c>
      <c r="I174" s="14">
        <v>59</v>
      </c>
      <c r="J174" s="14">
        <v>37</v>
      </c>
      <c r="K174" s="14">
        <v>119</v>
      </c>
      <c r="L174" s="14">
        <v>150</v>
      </c>
      <c r="M174" s="14">
        <v>28</v>
      </c>
    </row>
    <row r="175" spans="1:13" x14ac:dyDescent="0.2">
      <c r="A175" s="10" t="s">
        <v>807</v>
      </c>
      <c r="B175" s="16" t="s">
        <v>808</v>
      </c>
      <c r="C175" s="16" t="s">
        <v>548</v>
      </c>
      <c r="D175" s="14">
        <v>1894</v>
      </c>
      <c r="E175" s="14">
        <v>1295</v>
      </c>
      <c r="F175" s="14">
        <v>599</v>
      </c>
      <c r="G175" s="18">
        <v>31.6</v>
      </c>
      <c r="H175" s="14">
        <v>125</v>
      </c>
      <c r="I175" s="14">
        <v>84</v>
      </c>
      <c r="J175" s="14">
        <v>31</v>
      </c>
      <c r="K175" s="14">
        <v>171</v>
      </c>
      <c r="L175" s="14">
        <v>242</v>
      </c>
      <c r="M175" s="14">
        <v>30</v>
      </c>
    </row>
    <row r="176" spans="1:13" x14ac:dyDescent="0.2">
      <c r="A176" s="10" t="s">
        <v>809</v>
      </c>
      <c r="B176" s="16" t="s">
        <v>810</v>
      </c>
      <c r="C176" s="16" t="s">
        <v>548</v>
      </c>
      <c r="D176" s="14">
        <v>1434</v>
      </c>
      <c r="E176" s="14">
        <v>1007</v>
      </c>
      <c r="F176" s="14">
        <v>427</v>
      </c>
      <c r="G176" s="18">
        <v>29.8</v>
      </c>
      <c r="H176" s="14">
        <v>141</v>
      </c>
      <c r="I176" s="14">
        <v>93</v>
      </c>
      <c r="J176" s="14">
        <v>91</v>
      </c>
      <c r="K176" s="14">
        <v>51</v>
      </c>
      <c r="L176" s="14">
        <v>105</v>
      </c>
      <c r="M176" s="14">
        <v>39</v>
      </c>
    </row>
    <row r="177" spans="1:13" x14ac:dyDescent="0.2">
      <c r="A177" s="10" t="s">
        <v>811</v>
      </c>
      <c r="B177" s="16" t="s">
        <v>812</v>
      </c>
      <c r="C177" s="16" t="s">
        <v>548</v>
      </c>
      <c r="D177" s="14">
        <v>1143</v>
      </c>
      <c r="E177" s="14">
        <v>706</v>
      </c>
      <c r="F177" s="14">
        <v>437</v>
      </c>
      <c r="G177" s="18">
        <v>38.200000000000003</v>
      </c>
      <c r="H177" s="14">
        <v>141</v>
      </c>
      <c r="I177" s="14">
        <v>111</v>
      </c>
      <c r="J177" s="14">
        <v>55</v>
      </c>
      <c r="K177" s="14">
        <v>110</v>
      </c>
      <c r="L177" s="14">
        <v>119</v>
      </c>
      <c r="M177" s="14">
        <v>12</v>
      </c>
    </row>
    <row r="178" spans="1:13" x14ac:dyDescent="0.2">
      <c r="A178" s="10" t="s">
        <v>813</v>
      </c>
      <c r="B178" s="16" t="s">
        <v>814</v>
      </c>
      <c r="C178" s="16" t="s">
        <v>548</v>
      </c>
      <c r="D178" s="14">
        <v>576</v>
      </c>
      <c r="E178" s="14">
        <v>543</v>
      </c>
      <c r="F178" s="14">
        <v>33</v>
      </c>
      <c r="G178" s="18">
        <v>5.7</v>
      </c>
      <c r="H178" s="14">
        <v>9</v>
      </c>
      <c r="I178" s="14">
        <v>3</v>
      </c>
      <c r="J178" s="14">
        <v>1</v>
      </c>
      <c r="K178" s="14">
        <v>12</v>
      </c>
      <c r="L178" s="14">
        <v>10</v>
      </c>
      <c r="M178" s="14">
        <v>1</v>
      </c>
    </row>
    <row r="179" spans="1:13" x14ac:dyDescent="0.2">
      <c r="A179" s="10" t="s">
        <v>815</v>
      </c>
      <c r="B179" s="16" t="s">
        <v>816</v>
      </c>
      <c r="C179" s="16" t="s">
        <v>548</v>
      </c>
      <c r="D179" s="14">
        <v>798</v>
      </c>
      <c r="E179" s="14">
        <v>737</v>
      </c>
      <c r="F179" s="14">
        <v>61</v>
      </c>
      <c r="G179" s="18">
        <v>7.6</v>
      </c>
      <c r="H179" s="14">
        <v>25</v>
      </c>
      <c r="I179" s="14">
        <v>12</v>
      </c>
      <c r="J179" s="14">
        <v>5</v>
      </c>
      <c r="K179" s="14">
        <v>12</v>
      </c>
      <c r="L179" s="14">
        <v>17</v>
      </c>
      <c r="M179" s="14">
        <v>2</v>
      </c>
    </row>
    <row r="180" spans="1:13" x14ac:dyDescent="0.2">
      <c r="A180" s="10" t="s">
        <v>817</v>
      </c>
      <c r="B180" s="16" t="s">
        <v>818</v>
      </c>
      <c r="C180" s="16" t="s">
        <v>548</v>
      </c>
      <c r="D180" s="14">
        <v>1271</v>
      </c>
      <c r="E180" s="14">
        <v>1136</v>
      </c>
      <c r="F180" s="14">
        <v>135</v>
      </c>
      <c r="G180" s="18">
        <v>10.6</v>
      </c>
      <c r="H180" s="14">
        <v>35</v>
      </c>
      <c r="I180" s="14">
        <v>26</v>
      </c>
      <c r="J180" s="14">
        <v>10</v>
      </c>
      <c r="K180" s="14">
        <v>33</v>
      </c>
      <c r="L180" s="14">
        <v>51</v>
      </c>
      <c r="M180" s="14">
        <v>6</v>
      </c>
    </row>
    <row r="181" spans="1:13" x14ac:dyDescent="0.2">
      <c r="A181" s="10" t="s">
        <v>819</v>
      </c>
      <c r="B181" s="16" t="s">
        <v>820</v>
      </c>
      <c r="C181" s="16" t="s">
        <v>548</v>
      </c>
      <c r="D181" s="14">
        <v>815</v>
      </c>
      <c r="E181" s="14">
        <v>666</v>
      </c>
      <c r="F181" s="14">
        <v>149</v>
      </c>
      <c r="G181" s="18">
        <v>18.3</v>
      </c>
      <c r="H181" s="14">
        <v>60</v>
      </c>
      <c r="I181" s="14">
        <v>27</v>
      </c>
      <c r="J181" s="14">
        <v>10</v>
      </c>
      <c r="K181" s="14">
        <v>25</v>
      </c>
      <c r="L181" s="14">
        <v>37</v>
      </c>
      <c r="M181" s="14">
        <v>17</v>
      </c>
    </row>
    <row r="182" spans="1:13" s="23" customFormat="1" ht="15.75" x14ac:dyDescent="0.25">
      <c r="A182" s="21" t="s">
        <v>821</v>
      </c>
      <c r="B182" s="93" t="s">
        <v>822</v>
      </c>
      <c r="C182" s="93" t="s">
        <v>545</v>
      </c>
      <c r="D182" s="22">
        <v>12228</v>
      </c>
      <c r="E182" s="22">
        <v>8127</v>
      </c>
      <c r="F182" s="22">
        <v>4101</v>
      </c>
      <c r="G182" s="92">
        <v>33.5</v>
      </c>
      <c r="H182" s="22">
        <v>1264</v>
      </c>
      <c r="I182" s="22">
        <v>823</v>
      </c>
      <c r="J182" s="22">
        <v>389</v>
      </c>
      <c r="K182" s="22">
        <v>764</v>
      </c>
      <c r="L182" s="22">
        <v>1325</v>
      </c>
      <c r="M182" s="22">
        <v>359</v>
      </c>
    </row>
    <row r="183" spans="1:13" x14ac:dyDescent="0.2">
      <c r="A183" s="10" t="s">
        <v>823</v>
      </c>
      <c r="B183" s="16" t="s">
        <v>824</v>
      </c>
      <c r="C183" s="16" t="s">
        <v>548</v>
      </c>
      <c r="D183" s="14">
        <v>1158</v>
      </c>
      <c r="E183" s="14">
        <v>767</v>
      </c>
      <c r="F183" s="14">
        <v>391</v>
      </c>
      <c r="G183" s="18">
        <v>33.799999999999997</v>
      </c>
      <c r="H183" s="14">
        <v>130</v>
      </c>
      <c r="I183" s="14">
        <v>90</v>
      </c>
      <c r="J183" s="14">
        <v>107</v>
      </c>
      <c r="K183" s="14">
        <v>79</v>
      </c>
      <c r="L183" s="14">
        <v>56</v>
      </c>
      <c r="M183" s="14">
        <v>19</v>
      </c>
    </row>
    <row r="184" spans="1:13" x14ac:dyDescent="0.2">
      <c r="A184" s="10" t="s">
        <v>825</v>
      </c>
      <c r="B184" s="16" t="s">
        <v>826</v>
      </c>
      <c r="C184" s="16" t="s">
        <v>548</v>
      </c>
      <c r="D184" s="14">
        <v>1713</v>
      </c>
      <c r="E184" s="14">
        <v>1212</v>
      </c>
      <c r="F184" s="14">
        <v>501</v>
      </c>
      <c r="G184" s="18">
        <v>29.2</v>
      </c>
      <c r="H184" s="14">
        <v>178</v>
      </c>
      <c r="I184" s="14">
        <v>128</v>
      </c>
      <c r="J184" s="14">
        <v>48</v>
      </c>
      <c r="K184" s="14">
        <v>95</v>
      </c>
      <c r="L184" s="14">
        <v>140</v>
      </c>
      <c r="M184" s="14">
        <v>40</v>
      </c>
    </row>
    <row r="185" spans="1:13" x14ac:dyDescent="0.2">
      <c r="A185" s="10" t="s">
        <v>827</v>
      </c>
      <c r="B185" s="16" t="s">
        <v>828</v>
      </c>
      <c r="C185" s="16" t="s">
        <v>548</v>
      </c>
      <c r="D185" s="14">
        <v>1006</v>
      </c>
      <c r="E185" s="14">
        <v>605</v>
      </c>
      <c r="F185" s="14">
        <v>401</v>
      </c>
      <c r="G185" s="18">
        <v>39.9</v>
      </c>
      <c r="H185" s="14">
        <v>125</v>
      </c>
      <c r="I185" s="14">
        <v>98</v>
      </c>
      <c r="J185" s="14">
        <v>52</v>
      </c>
      <c r="K185" s="14">
        <v>79</v>
      </c>
      <c r="L185" s="14">
        <v>119</v>
      </c>
      <c r="M185" s="14">
        <v>26</v>
      </c>
    </row>
    <row r="186" spans="1:13" x14ac:dyDescent="0.2">
      <c r="A186" s="10" t="s">
        <v>829</v>
      </c>
      <c r="B186" s="16" t="s">
        <v>830</v>
      </c>
      <c r="C186" s="16" t="s">
        <v>548</v>
      </c>
      <c r="D186" s="14">
        <v>1356</v>
      </c>
      <c r="E186" s="14">
        <v>1060</v>
      </c>
      <c r="F186" s="14">
        <v>296</v>
      </c>
      <c r="G186" s="18">
        <v>21.8</v>
      </c>
      <c r="H186" s="14">
        <v>89</v>
      </c>
      <c r="I186" s="14">
        <v>49</v>
      </c>
      <c r="J186" s="14">
        <v>21</v>
      </c>
      <c r="K186" s="14">
        <v>53</v>
      </c>
      <c r="L186" s="14">
        <v>88</v>
      </c>
      <c r="M186" s="14">
        <v>45</v>
      </c>
    </row>
    <row r="187" spans="1:13" x14ac:dyDescent="0.2">
      <c r="A187" s="10" t="s">
        <v>831</v>
      </c>
      <c r="B187" s="16" t="s">
        <v>832</v>
      </c>
      <c r="C187" s="16" t="s">
        <v>548</v>
      </c>
      <c r="D187" s="14">
        <v>800</v>
      </c>
      <c r="E187" s="14">
        <v>515</v>
      </c>
      <c r="F187" s="14">
        <v>285</v>
      </c>
      <c r="G187" s="18">
        <v>35.6</v>
      </c>
      <c r="H187" s="14">
        <v>85</v>
      </c>
      <c r="I187" s="14">
        <v>51</v>
      </c>
      <c r="J187" s="14">
        <v>13</v>
      </c>
      <c r="K187" s="14">
        <v>37</v>
      </c>
      <c r="L187" s="14">
        <v>120</v>
      </c>
      <c r="M187" s="14">
        <v>30</v>
      </c>
    </row>
    <row r="188" spans="1:13" x14ac:dyDescent="0.2">
      <c r="A188" s="10" t="s">
        <v>833</v>
      </c>
      <c r="B188" s="16" t="s">
        <v>834</v>
      </c>
      <c r="C188" s="16" t="s">
        <v>548</v>
      </c>
      <c r="D188" s="14">
        <v>1327</v>
      </c>
      <c r="E188" s="14">
        <v>538</v>
      </c>
      <c r="F188" s="14">
        <v>789</v>
      </c>
      <c r="G188" s="18">
        <v>59.5</v>
      </c>
      <c r="H188" s="14">
        <v>208</v>
      </c>
      <c r="I188" s="14">
        <v>151</v>
      </c>
      <c r="J188" s="14">
        <v>36</v>
      </c>
      <c r="K188" s="14">
        <v>115</v>
      </c>
      <c r="L188" s="14">
        <v>382</v>
      </c>
      <c r="M188" s="14">
        <v>48</v>
      </c>
    </row>
    <row r="189" spans="1:13" x14ac:dyDescent="0.2">
      <c r="A189" s="10" t="s">
        <v>835</v>
      </c>
      <c r="B189" s="16" t="s">
        <v>836</v>
      </c>
      <c r="C189" s="16" t="s">
        <v>548</v>
      </c>
      <c r="D189" s="14">
        <v>1288</v>
      </c>
      <c r="E189" s="14">
        <v>913</v>
      </c>
      <c r="F189" s="14">
        <v>375</v>
      </c>
      <c r="G189" s="18">
        <v>29.1</v>
      </c>
      <c r="H189" s="14">
        <v>133</v>
      </c>
      <c r="I189" s="14">
        <v>44</v>
      </c>
      <c r="J189" s="14">
        <v>33</v>
      </c>
      <c r="K189" s="14">
        <v>49</v>
      </c>
      <c r="L189" s="14">
        <v>96</v>
      </c>
      <c r="M189" s="14">
        <v>64</v>
      </c>
    </row>
    <row r="190" spans="1:13" x14ac:dyDescent="0.2">
      <c r="A190" s="10" t="s">
        <v>837</v>
      </c>
      <c r="B190" s="16" t="s">
        <v>838</v>
      </c>
      <c r="C190" s="16" t="s">
        <v>548</v>
      </c>
      <c r="D190" s="14">
        <v>1115</v>
      </c>
      <c r="E190" s="14">
        <v>704</v>
      </c>
      <c r="F190" s="14">
        <v>411</v>
      </c>
      <c r="G190" s="18">
        <v>36.9</v>
      </c>
      <c r="H190" s="14">
        <v>124</v>
      </c>
      <c r="I190" s="14">
        <v>91</v>
      </c>
      <c r="J190" s="14">
        <v>33</v>
      </c>
      <c r="K190" s="14">
        <v>126</v>
      </c>
      <c r="L190" s="14">
        <v>94</v>
      </c>
      <c r="M190" s="14">
        <v>34</v>
      </c>
    </row>
    <row r="191" spans="1:13" x14ac:dyDescent="0.2">
      <c r="A191" s="10" t="s">
        <v>839</v>
      </c>
      <c r="B191" s="16" t="s">
        <v>840</v>
      </c>
      <c r="C191" s="16" t="s">
        <v>548</v>
      </c>
      <c r="D191" s="14">
        <v>1485</v>
      </c>
      <c r="E191" s="14">
        <v>1196</v>
      </c>
      <c r="F191" s="14">
        <v>289</v>
      </c>
      <c r="G191" s="18">
        <v>19.5</v>
      </c>
      <c r="H191" s="14">
        <v>106</v>
      </c>
      <c r="I191" s="14">
        <v>55</v>
      </c>
      <c r="J191" s="14">
        <v>26</v>
      </c>
      <c r="K191" s="14">
        <v>48</v>
      </c>
      <c r="L191" s="14">
        <v>71</v>
      </c>
      <c r="M191" s="14">
        <v>38</v>
      </c>
    </row>
    <row r="192" spans="1:13" x14ac:dyDescent="0.2">
      <c r="A192" s="10" t="s">
        <v>841</v>
      </c>
      <c r="B192" s="16" t="s">
        <v>842</v>
      </c>
      <c r="C192" s="16" t="s">
        <v>548</v>
      </c>
      <c r="D192" s="14">
        <v>980</v>
      </c>
      <c r="E192" s="14">
        <v>617</v>
      </c>
      <c r="F192" s="14">
        <v>363</v>
      </c>
      <c r="G192" s="18">
        <v>37</v>
      </c>
      <c r="H192" s="14">
        <v>86</v>
      </c>
      <c r="I192" s="14">
        <v>66</v>
      </c>
      <c r="J192" s="14">
        <v>20</v>
      </c>
      <c r="K192" s="14">
        <v>83</v>
      </c>
      <c r="L192" s="14">
        <v>159</v>
      </c>
      <c r="M192" s="14">
        <v>15</v>
      </c>
    </row>
    <row r="193" spans="1:13" s="23" customFormat="1" ht="15.75" x14ac:dyDescent="0.25">
      <c r="A193" s="21" t="s">
        <v>843</v>
      </c>
      <c r="B193" s="93" t="s">
        <v>844</v>
      </c>
      <c r="C193" s="93" t="s">
        <v>545</v>
      </c>
      <c r="D193" s="22">
        <v>6971</v>
      </c>
      <c r="E193" s="22">
        <v>5422</v>
      </c>
      <c r="F193" s="22">
        <v>1548</v>
      </c>
      <c r="G193" s="92">
        <v>22.2</v>
      </c>
      <c r="H193" s="22">
        <v>546</v>
      </c>
      <c r="I193" s="22">
        <v>336</v>
      </c>
      <c r="J193" s="22">
        <v>88</v>
      </c>
      <c r="K193" s="22">
        <v>330</v>
      </c>
      <c r="L193" s="22">
        <v>445</v>
      </c>
      <c r="M193" s="22">
        <v>139</v>
      </c>
    </row>
    <row r="194" spans="1:13" x14ac:dyDescent="0.2">
      <c r="A194" s="10" t="s">
        <v>845</v>
      </c>
      <c r="B194" s="16" t="s">
        <v>846</v>
      </c>
      <c r="C194" s="16" t="s">
        <v>548</v>
      </c>
      <c r="D194" s="14">
        <v>1158</v>
      </c>
      <c r="E194" s="14">
        <v>940</v>
      </c>
      <c r="F194" s="14">
        <v>218</v>
      </c>
      <c r="G194" s="18">
        <v>18.8</v>
      </c>
      <c r="H194" s="14">
        <v>114</v>
      </c>
      <c r="I194" s="14">
        <v>66</v>
      </c>
      <c r="J194" s="14">
        <v>10</v>
      </c>
      <c r="K194" s="14">
        <v>18</v>
      </c>
      <c r="L194" s="14">
        <v>44</v>
      </c>
      <c r="M194" s="14">
        <v>32</v>
      </c>
    </row>
    <row r="195" spans="1:13" x14ac:dyDescent="0.2">
      <c r="A195" s="10" t="s">
        <v>847</v>
      </c>
      <c r="B195" s="16" t="s">
        <v>848</v>
      </c>
      <c r="C195" s="16" t="s">
        <v>548</v>
      </c>
      <c r="D195" s="14">
        <v>1035</v>
      </c>
      <c r="E195" s="14">
        <v>885</v>
      </c>
      <c r="F195" s="14">
        <v>150</v>
      </c>
      <c r="G195" s="18">
        <v>14.5</v>
      </c>
      <c r="H195" s="14">
        <v>51</v>
      </c>
      <c r="I195" s="14">
        <v>26</v>
      </c>
      <c r="J195" s="14">
        <v>10</v>
      </c>
      <c r="K195" s="14">
        <v>37</v>
      </c>
      <c r="L195" s="14">
        <v>42</v>
      </c>
      <c r="M195" s="14">
        <v>10</v>
      </c>
    </row>
    <row r="196" spans="1:13" x14ac:dyDescent="0.2">
      <c r="A196" s="10" t="s">
        <v>849</v>
      </c>
      <c r="B196" s="16" t="s">
        <v>850</v>
      </c>
      <c r="C196" s="16" t="s">
        <v>548</v>
      </c>
      <c r="D196" s="14">
        <v>801</v>
      </c>
      <c r="E196" s="14">
        <v>614</v>
      </c>
      <c r="F196" s="14">
        <v>186</v>
      </c>
      <c r="G196" s="18">
        <v>23.2</v>
      </c>
      <c r="H196" s="14">
        <v>79</v>
      </c>
      <c r="I196" s="14">
        <v>53</v>
      </c>
      <c r="J196" s="14">
        <v>6</v>
      </c>
      <c r="K196" s="14">
        <v>36</v>
      </c>
      <c r="L196" s="14">
        <v>61</v>
      </c>
      <c r="M196" s="14">
        <v>4</v>
      </c>
    </row>
    <row r="197" spans="1:13" x14ac:dyDescent="0.2">
      <c r="A197" s="10" t="s">
        <v>851</v>
      </c>
      <c r="B197" s="16" t="s">
        <v>852</v>
      </c>
      <c r="C197" s="16" t="s">
        <v>548</v>
      </c>
      <c r="D197" s="14">
        <v>1122</v>
      </c>
      <c r="E197" s="14">
        <v>882</v>
      </c>
      <c r="F197" s="14">
        <v>240</v>
      </c>
      <c r="G197" s="18">
        <v>21.4</v>
      </c>
      <c r="H197" s="14">
        <v>91</v>
      </c>
      <c r="I197" s="14">
        <v>65</v>
      </c>
      <c r="J197" s="14">
        <v>16</v>
      </c>
      <c r="K197" s="14">
        <v>35</v>
      </c>
      <c r="L197" s="14">
        <v>56</v>
      </c>
      <c r="M197" s="14">
        <v>42</v>
      </c>
    </row>
    <row r="198" spans="1:13" x14ac:dyDescent="0.2">
      <c r="A198" s="10" t="s">
        <v>853</v>
      </c>
      <c r="B198" s="16" t="s">
        <v>854</v>
      </c>
      <c r="C198" s="16" t="s">
        <v>548</v>
      </c>
      <c r="D198" s="14">
        <v>526</v>
      </c>
      <c r="E198" s="14">
        <v>477</v>
      </c>
      <c r="F198" s="14">
        <v>49</v>
      </c>
      <c r="G198" s="18">
        <v>9.3000000000000007</v>
      </c>
      <c r="H198" s="14">
        <v>13</v>
      </c>
      <c r="I198" s="14">
        <v>10</v>
      </c>
      <c r="J198" s="14">
        <v>5</v>
      </c>
      <c r="K198" s="14">
        <v>7</v>
      </c>
      <c r="L198" s="14">
        <v>19</v>
      </c>
      <c r="M198" s="14">
        <v>5</v>
      </c>
    </row>
    <row r="199" spans="1:13" x14ac:dyDescent="0.2">
      <c r="A199" s="10" t="s">
        <v>855</v>
      </c>
      <c r="B199" s="16" t="s">
        <v>856</v>
      </c>
      <c r="C199" s="16" t="s">
        <v>548</v>
      </c>
      <c r="D199" s="14">
        <v>1183</v>
      </c>
      <c r="E199" s="14">
        <v>689</v>
      </c>
      <c r="F199" s="14">
        <v>494</v>
      </c>
      <c r="G199" s="18">
        <v>41.8</v>
      </c>
      <c r="H199" s="14">
        <v>127</v>
      </c>
      <c r="I199" s="14">
        <v>83</v>
      </c>
      <c r="J199" s="14">
        <v>30</v>
      </c>
      <c r="K199" s="14">
        <v>151</v>
      </c>
      <c r="L199" s="14">
        <v>159</v>
      </c>
      <c r="M199" s="14">
        <v>27</v>
      </c>
    </row>
    <row r="200" spans="1:13" x14ac:dyDescent="0.2">
      <c r="A200" s="10" t="s">
        <v>857</v>
      </c>
      <c r="B200" s="16" t="s">
        <v>858</v>
      </c>
      <c r="C200" s="16" t="s">
        <v>548</v>
      </c>
      <c r="D200" s="14">
        <v>1146</v>
      </c>
      <c r="E200" s="14">
        <v>935</v>
      </c>
      <c r="F200" s="14">
        <v>211</v>
      </c>
      <c r="G200" s="18">
        <v>18.399999999999999</v>
      </c>
      <c r="H200" s="14">
        <v>71</v>
      </c>
      <c r="I200" s="14">
        <v>33</v>
      </c>
      <c r="J200" s="14">
        <v>11</v>
      </c>
      <c r="K200" s="14">
        <v>46</v>
      </c>
      <c r="L200" s="14">
        <v>64</v>
      </c>
      <c r="M200" s="14">
        <v>19</v>
      </c>
    </row>
    <row r="201" spans="1:13" s="23" customFormat="1" ht="15.75" x14ac:dyDescent="0.25">
      <c r="A201" s="21" t="s">
        <v>859</v>
      </c>
      <c r="B201" s="93" t="s">
        <v>860</v>
      </c>
      <c r="C201" s="93" t="s">
        <v>545</v>
      </c>
      <c r="D201" s="22">
        <v>6537</v>
      </c>
      <c r="E201" s="22">
        <v>4846</v>
      </c>
      <c r="F201" s="22">
        <v>1691</v>
      </c>
      <c r="G201" s="92">
        <v>25.9</v>
      </c>
      <c r="H201" s="22">
        <v>523</v>
      </c>
      <c r="I201" s="22">
        <v>345</v>
      </c>
      <c r="J201" s="22">
        <v>62</v>
      </c>
      <c r="K201" s="22">
        <v>276</v>
      </c>
      <c r="L201" s="22">
        <v>494</v>
      </c>
      <c r="M201" s="22">
        <v>336</v>
      </c>
    </row>
    <row r="202" spans="1:13" x14ac:dyDescent="0.2">
      <c r="A202" s="10" t="s">
        <v>861</v>
      </c>
      <c r="B202" s="16" t="s">
        <v>862</v>
      </c>
      <c r="C202" s="16" t="s">
        <v>548</v>
      </c>
      <c r="D202" s="14">
        <v>757</v>
      </c>
      <c r="E202" s="14">
        <v>677</v>
      </c>
      <c r="F202" s="14">
        <v>80</v>
      </c>
      <c r="G202" s="18">
        <v>10.6</v>
      </c>
      <c r="H202" s="14">
        <v>27</v>
      </c>
      <c r="I202" s="14">
        <v>12</v>
      </c>
      <c r="J202" s="14">
        <v>8</v>
      </c>
      <c r="K202" s="14">
        <v>14</v>
      </c>
      <c r="L202" s="14">
        <v>23</v>
      </c>
      <c r="M202" s="14">
        <v>8</v>
      </c>
    </row>
    <row r="203" spans="1:13" x14ac:dyDescent="0.2">
      <c r="A203" s="10" t="s">
        <v>863</v>
      </c>
      <c r="B203" s="16" t="s">
        <v>864</v>
      </c>
      <c r="C203" s="16" t="s">
        <v>548</v>
      </c>
      <c r="D203" s="14">
        <v>1426</v>
      </c>
      <c r="E203" s="14">
        <v>807</v>
      </c>
      <c r="F203" s="14">
        <v>619</v>
      </c>
      <c r="G203" s="18">
        <v>43.4</v>
      </c>
      <c r="H203" s="14">
        <v>240</v>
      </c>
      <c r="I203" s="14">
        <v>198</v>
      </c>
      <c r="J203" s="14">
        <v>12</v>
      </c>
      <c r="K203" s="14">
        <v>130</v>
      </c>
      <c r="L203" s="14">
        <v>216</v>
      </c>
      <c r="M203" s="14">
        <v>21</v>
      </c>
    </row>
    <row r="204" spans="1:13" x14ac:dyDescent="0.2">
      <c r="A204" s="10" t="s">
        <v>865</v>
      </c>
      <c r="B204" s="16" t="s">
        <v>866</v>
      </c>
      <c r="C204" s="16" t="s">
        <v>548</v>
      </c>
      <c r="D204" s="14">
        <v>926</v>
      </c>
      <c r="E204" s="14">
        <v>815</v>
      </c>
      <c r="F204" s="14">
        <v>111</v>
      </c>
      <c r="G204" s="18">
        <v>12</v>
      </c>
      <c r="H204" s="14">
        <v>37</v>
      </c>
      <c r="I204" s="14">
        <v>20</v>
      </c>
      <c r="J204" s="14">
        <v>4</v>
      </c>
      <c r="K204" s="14">
        <v>21</v>
      </c>
      <c r="L204" s="14">
        <v>35</v>
      </c>
      <c r="M204" s="14">
        <v>14</v>
      </c>
    </row>
    <row r="205" spans="1:13" x14ac:dyDescent="0.2">
      <c r="A205" s="10" t="s">
        <v>867</v>
      </c>
      <c r="B205" s="16" t="s">
        <v>868</v>
      </c>
      <c r="C205" s="16" t="s">
        <v>548</v>
      </c>
      <c r="D205" s="14">
        <v>1618</v>
      </c>
      <c r="E205" s="14">
        <v>1435</v>
      </c>
      <c r="F205" s="14">
        <v>183</v>
      </c>
      <c r="G205" s="18">
        <v>11.3</v>
      </c>
      <c r="H205" s="14">
        <v>56</v>
      </c>
      <c r="I205" s="14">
        <v>28</v>
      </c>
      <c r="J205" s="14">
        <v>13</v>
      </c>
      <c r="K205" s="14">
        <v>35</v>
      </c>
      <c r="L205" s="14">
        <v>60</v>
      </c>
      <c r="M205" s="14">
        <v>19</v>
      </c>
    </row>
    <row r="206" spans="1:13" x14ac:dyDescent="0.2">
      <c r="A206" s="10" t="s">
        <v>869</v>
      </c>
      <c r="B206" s="16" t="s">
        <v>870</v>
      </c>
      <c r="C206" s="16" t="s">
        <v>548</v>
      </c>
      <c r="D206" s="14">
        <v>1810</v>
      </c>
      <c r="E206" s="14">
        <v>1112</v>
      </c>
      <c r="F206" s="14">
        <v>698</v>
      </c>
      <c r="G206" s="18">
        <v>38.6</v>
      </c>
      <c r="H206" s="14">
        <v>163</v>
      </c>
      <c r="I206" s="14">
        <v>87</v>
      </c>
      <c r="J206" s="14">
        <v>25</v>
      </c>
      <c r="K206" s="14">
        <v>76</v>
      </c>
      <c r="L206" s="14">
        <v>160</v>
      </c>
      <c r="M206" s="14">
        <v>274</v>
      </c>
    </row>
    <row r="207" spans="1:13" s="23" customFormat="1" ht="15.75" x14ac:dyDescent="0.25">
      <c r="A207" s="21" t="s">
        <v>871</v>
      </c>
      <c r="B207" s="93" t="s">
        <v>872</v>
      </c>
      <c r="C207" s="93" t="s">
        <v>473</v>
      </c>
      <c r="D207" s="22">
        <v>103639</v>
      </c>
      <c r="E207" s="22">
        <v>41461</v>
      </c>
      <c r="F207" s="22">
        <v>62166</v>
      </c>
      <c r="G207" s="92">
        <v>60</v>
      </c>
      <c r="H207" s="22">
        <v>12623</v>
      </c>
      <c r="I207" s="22">
        <v>6269</v>
      </c>
      <c r="J207" s="22">
        <v>5342</v>
      </c>
      <c r="K207" s="22">
        <v>10333</v>
      </c>
      <c r="L207" s="22">
        <v>27942</v>
      </c>
      <c r="M207" s="22">
        <v>5926</v>
      </c>
    </row>
    <row r="208" spans="1:13" s="23" customFormat="1" ht="15.75" x14ac:dyDescent="0.25">
      <c r="A208" s="21" t="s">
        <v>873</v>
      </c>
      <c r="B208" s="93" t="s">
        <v>874</v>
      </c>
      <c r="C208" s="93" t="s">
        <v>491</v>
      </c>
      <c r="D208" s="22">
        <v>39420</v>
      </c>
      <c r="E208" s="22">
        <v>16612</v>
      </c>
      <c r="F208" s="22">
        <v>22802</v>
      </c>
      <c r="G208" s="92">
        <v>57.8</v>
      </c>
      <c r="H208" s="22">
        <v>5029</v>
      </c>
      <c r="I208" s="22">
        <v>1657</v>
      </c>
      <c r="J208" s="22">
        <v>1761</v>
      </c>
      <c r="K208" s="22">
        <v>4043</v>
      </c>
      <c r="L208" s="22">
        <v>8552</v>
      </c>
      <c r="M208" s="22">
        <v>3417</v>
      </c>
    </row>
    <row r="209" spans="1:13" x14ac:dyDescent="0.2">
      <c r="A209" s="10" t="s">
        <v>875</v>
      </c>
      <c r="B209" s="16" t="s">
        <v>876</v>
      </c>
      <c r="C209" s="16" t="s">
        <v>877</v>
      </c>
      <c r="D209" s="14">
        <v>1991</v>
      </c>
      <c r="E209" s="14">
        <v>764</v>
      </c>
      <c r="F209" s="14">
        <v>1226</v>
      </c>
      <c r="G209" s="18">
        <v>61.6</v>
      </c>
      <c r="H209" s="14">
        <v>266</v>
      </c>
      <c r="I209" s="14">
        <v>58</v>
      </c>
      <c r="J209" s="14">
        <v>126</v>
      </c>
      <c r="K209" s="14">
        <v>175</v>
      </c>
      <c r="L209" s="14">
        <v>442</v>
      </c>
      <c r="M209" s="14">
        <v>217</v>
      </c>
    </row>
    <row r="210" spans="1:13" x14ac:dyDescent="0.2">
      <c r="A210" s="10" t="s">
        <v>878</v>
      </c>
      <c r="B210" s="16" t="s">
        <v>879</v>
      </c>
      <c r="C210" s="16" t="s">
        <v>877</v>
      </c>
      <c r="D210" s="14">
        <v>69</v>
      </c>
      <c r="E210" s="14">
        <v>16</v>
      </c>
      <c r="F210" s="14">
        <v>53</v>
      </c>
      <c r="G210" s="18">
        <v>76.8</v>
      </c>
      <c r="H210" s="14">
        <v>14</v>
      </c>
      <c r="I210" s="14">
        <v>2</v>
      </c>
      <c r="J210" s="14">
        <v>5</v>
      </c>
      <c r="K210" s="14">
        <v>8</v>
      </c>
      <c r="L210" s="14">
        <v>17</v>
      </c>
      <c r="M210" s="14">
        <v>9</v>
      </c>
    </row>
    <row r="211" spans="1:13" x14ac:dyDescent="0.2">
      <c r="A211" s="10" t="s">
        <v>880</v>
      </c>
      <c r="B211" s="16" t="s">
        <v>881</v>
      </c>
      <c r="C211" s="16" t="s">
        <v>877</v>
      </c>
      <c r="D211" s="14">
        <v>3494</v>
      </c>
      <c r="E211" s="14">
        <v>1941</v>
      </c>
      <c r="F211" s="14">
        <v>1553</v>
      </c>
      <c r="G211" s="18">
        <v>44.4</v>
      </c>
      <c r="H211" s="14">
        <v>406</v>
      </c>
      <c r="I211" s="14">
        <v>78</v>
      </c>
      <c r="J211" s="14">
        <v>138</v>
      </c>
      <c r="K211" s="14">
        <v>295</v>
      </c>
      <c r="L211" s="14">
        <v>432</v>
      </c>
      <c r="M211" s="14">
        <v>282</v>
      </c>
    </row>
    <row r="212" spans="1:13" x14ac:dyDescent="0.2">
      <c r="A212" s="10" t="s">
        <v>882</v>
      </c>
      <c r="B212" s="16" t="s">
        <v>883</v>
      </c>
      <c r="C212" s="16" t="s">
        <v>877</v>
      </c>
      <c r="D212" s="14">
        <v>1948</v>
      </c>
      <c r="E212" s="14">
        <v>809</v>
      </c>
      <c r="F212" s="14">
        <v>1139</v>
      </c>
      <c r="G212" s="18">
        <v>58.5</v>
      </c>
      <c r="H212" s="14">
        <v>294</v>
      </c>
      <c r="I212" s="14">
        <v>66</v>
      </c>
      <c r="J212" s="14">
        <v>117</v>
      </c>
      <c r="K212" s="14">
        <v>231</v>
      </c>
      <c r="L212" s="14">
        <v>308</v>
      </c>
      <c r="M212" s="14">
        <v>189</v>
      </c>
    </row>
    <row r="213" spans="1:13" x14ac:dyDescent="0.2">
      <c r="A213" s="10" t="s">
        <v>884</v>
      </c>
      <c r="B213" s="16" t="s">
        <v>885</v>
      </c>
      <c r="C213" s="16" t="s">
        <v>877</v>
      </c>
      <c r="D213" s="14">
        <v>2932</v>
      </c>
      <c r="E213" s="14">
        <v>1253</v>
      </c>
      <c r="F213" s="14">
        <v>1679</v>
      </c>
      <c r="G213" s="18">
        <v>57.3</v>
      </c>
      <c r="H213" s="14">
        <v>476</v>
      </c>
      <c r="I213" s="14">
        <v>245</v>
      </c>
      <c r="J213" s="14">
        <v>233</v>
      </c>
      <c r="K213" s="14">
        <v>327</v>
      </c>
      <c r="L213" s="14">
        <v>349</v>
      </c>
      <c r="M213" s="14">
        <v>294</v>
      </c>
    </row>
    <row r="214" spans="1:13" x14ac:dyDescent="0.2">
      <c r="A214" s="10" t="s">
        <v>886</v>
      </c>
      <c r="B214" s="16" t="s">
        <v>887</v>
      </c>
      <c r="C214" s="16" t="s">
        <v>877</v>
      </c>
      <c r="D214" s="14">
        <v>2229</v>
      </c>
      <c r="E214" s="14">
        <v>1020</v>
      </c>
      <c r="F214" s="14">
        <v>1209</v>
      </c>
      <c r="G214" s="18">
        <v>54.2</v>
      </c>
      <c r="H214" s="14">
        <v>313</v>
      </c>
      <c r="I214" s="14">
        <v>61</v>
      </c>
      <c r="J214" s="14">
        <v>117</v>
      </c>
      <c r="K214" s="14">
        <v>259</v>
      </c>
      <c r="L214" s="14">
        <v>247</v>
      </c>
      <c r="M214" s="14">
        <v>273</v>
      </c>
    </row>
    <row r="215" spans="1:13" x14ac:dyDescent="0.2">
      <c r="A215" s="10" t="s">
        <v>888</v>
      </c>
      <c r="B215" s="16" t="s">
        <v>889</v>
      </c>
      <c r="C215" s="16" t="s">
        <v>877</v>
      </c>
      <c r="D215" s="14">
        <v>1314</v>
      </c>
      <c r="E215" s="14">
        <v>409</v>
      </c>
      <c r="F215" s="14">
        <v>905</v>
      </c>
      <c r="G215" s="18">
        <v>68.900000000000006</v>
      </c>
      <c r="H215" s="14">
        <v>260</v>
      </c>
      <c r="I215" s="14">
        <v>48</v>
      </c>
      <c r="J215" s="14">
        <v>108</v>
      </c>
      <c r="K215" s="14">
        <v>126</v>
      </c>
      <c r="L215" s="14">
        <v>223</v>
      </c>
      <c r="M215" s="14">
        <v>188</v>
      </c>
    </row>
    <row r="216" spans="1:13" x14ac:dyDescent="0.2">
      <c r="A216" s="10" t="s">
        <v>890</v>
      </c>
      <c r="B216" s="16" t="s">
        <v>891</v>
      </c>
      <c r="C216" s="16" t="s">
        <v>877</v>
      </c>
      <c r="D216" s="14">
        <v>3272</v>
      </c>
      <c r="E216" s="14">
        <v>1728</v>
      </c>
      <c r="F216" s="14">
        <v>1543</v>
      </c>
      <c r="G216" s="18">
        <v>47.2</v>
      </c>
      <c r="H216" s="14">
        <v>388</v>
      </c>
      <c r="I216" s="14">
        <v>83</v>
      </c>
      <c r="J216" s="14">
        <v>86</v>
      </c>
      <c r="K216" s="14">
        <v>412</v>
      </c>
      <c r="L216" s="14">
        <v>272</v>
      </c>
      <c r="M216" s="14">
        <v>385</v>
      </c>
    </row>
    <row r="217" spans="1:13" x14ac:dyDescent="0.2">
      <c r="A217" s="10" t="s">
        <v>892</v>
      </c>
      <c r="B217" s="16" t="s">
        <v>893</v>
      </c>
      <c r="C217" s="16" t="s">
        <v>877</v>
      </c>
      <c r="D217" s="14">
        <v>3677</v>
      </c>
      <c r="E217" s="14">
        <v>1870</v>
      </c>
      <c r="F217" s="14">
        <v>1806</v>
      </c>
      <c r="G217" s="18">
        <v>49.1</v>
      </c>
      <c r="H217" s="14">
        <v>423</v>
      </c>
      <c r="I217" s="14">
        <v>164</v>
      </c>
      <c r="J217" s="14">
        <v>139</v>
      </c>
      <c r="K217" s="14">
        <v>471</v>
      </c>
      <c r="L217" s="14">
        <v>430</v>
      </c>
      <c r="M217" s="14">
        <v>343</v>
      </c>
    </row>
    <row r="218" spans="1:13" x14ac:dyDescent="0.2">
      <c r="A218" s="10" t="s">
        <v>894</v>
      </c>
      <c r="B218" s="16" t="s">
        <v>895</v>
      </c>
      <c r="C218" s="16" t="s">
        <v>877</v>
      </c>
      <c r="D218" s="14">
        <v>5342</v>
      </c>
      <c r="E218" s="14">
        <v>1312</v>
      </c>
      <c r="F218" s="14">
        <v>4028</v>
      </c>
      <c r="G218" s="18">
        <v>75.400000000000006</v>
      </c>
      <c r="H218" s="14">
        <v>622</v>
      </c>
      <c r="I218" s="14">
        <v>444</v>
      </c>
      <c r="J218" s="14">
        <v>197</v>
      </c>
      <c r="K218" s="14">
        <v>472</v>
      </c>
      <c r="L218" s="14">
        <v>2590</v>
      </c>
      <c r="M218" s="14">
        <v>147</v>
      </c>
    </row>
    <row r="219" spans="1:13" x14ac:dyDescent="0.2">
      <c r="A219" s="10" t="s">
        <v>896</v>
      </c>
      <c r="B219" s="16" t="s">
        <v>897</v>
      </c>
      <c r="C219" s="16" t="s">
        <v>877</v>
      </c>
      <c r="D219" s="14">
        <v>3150</v>
      </c>
      <c r="E219" s="14">
        <v>1435</v>
      </c>
      <c r="F219" s="14">
        <v>1715</v>
      </c>
      <c r="G219" s="18">
        <v>54.4</v>
      </c>
      <c r="H219" s="14">
        <v>370</v>
      </c>
      <c r="I219" s="14">
        <v>94</v>
      </c>
      <c r="J219" s="14">
        <v>107</v>
      </c>
      <c r="K219" s="14">
        <v>498</v>
      </c>
      <c r="L219" s="14">
        <v>439</v>
      </c>
      <c r="M219" s="14">
        <v>301</v>
      </c>
    </row>
    <row r="220" spans="1:13" x14ac:dyDescent="0.2">
      <c r="A220" s="10" t="s">
        <v>898</v>
      </c>
      <c r="B220" s="16" t="s">
        <v>899</v>
      </c>
      <c r="C220" s="16" t="s">
        <v>877</v>
      </c>
      <c r="D220" s="14">
        <v>4192</v>
      </c>
      <c r="E220" s="14">
        <v>1474</v>
      </c>
      <c r="F220" s="14">
        <v>2718</v>
      </c>
      <c r="G220" s="18">
        <v>64.8</v>
      </c>
      <c r="H220" s="14">
        <v>364</v>
      </c>
      <c r="I220" s="14">
        <v>125</v>
      </c>
      <c r="J220" s="14">
        <v>123</v>
      </c>
      <c r="K220" s="14">
        <v>231</v>
      </c>
      <c r="L220" s="14">
        <v>1835</v>
      </c>
      <c r="M220" s="14">
        <v>165</v>
      </c>
    </row>
    <row r="221" spans="1:13" x14ac:dyDescent="0.2">
      <c r="A221" s="10" t="s">
        <v>900</v>
      </c>
      <c r="B221" s="16" t="s">
        <v>901</v>
      </c>
      <c r="C221" s="16" t="s">
        <v>877</v>
      </c>
      <c r="D221" s="14">
        <v>3964</v>
      </c>
      <c r="E221" s="14">
        <v>2024</v>
      </c>
      <c r="F221" s="14">
        <v>1939</v>
      </c>
      <c r="G221" s="18">
        <v>48.9</v>
      </c>
      <c r="H221" s="14">
        <v>529</v>
      </c>
      <c r="I221" s="14">
        <v>127</v>
      </c>
      <c r="J221" s="14">
        <v>148</v>
      </c>
      <c r="K221" s="14">
        <v>354</v>
      </c>
      <c r="L221" s="14">
        <v>505</v>
      </c>
      <c r="M221" s="14">
        <v>403</v>
      </c>
    </row>
    <row r="222" spans="1:13" x14ac:dyDescent="0.2">
      <c r="A222" s="10" t="s">
        <v>902</v>
      </c>
      <c r="B222" s="16" t="s">
        <v>903</v>
      </c>
      <c r="C222" s="16" t="s">
        <v>877</v>
      </c>
      <c r="D222" s="14">
        <v>1846</v>
      </c>
      <c r="E222" s="14">
        <v>557</v>
      </c>
      <c r="F222" s="14">
        <v>1289</v>
      </c>
      <c r="G222" s="18">
        <v>69.8</v>
      </c>
      <c r="H222" s="14">
        <v>304</v>
      </c>
      <c r="I222" s="14">
        <v>62</v>
      </c>
      <c r="J222" s="14">
        <v>117</v>
      </c>
      <c r="K222" s="14">
        <v>184</v>
      </c>
      <c r="L222" s="14">
        <v>463</v>
      </c>
      <c r="M222" s="14">
        <v>221</v>
      </c>
    </row>
    <row r="223" spans="1:13" s="23" customFormat="1" ht="15.75" x14ac:dyDescent="0.25">
      <c r="A223" s="21" t="s">
        <v>904</v>
      </c>
      <c r="B223" s="93" t="s">
        <v>905</v>
      </c>
      <c r="C223" s="93" t="s">
        <v>491</v>
      </c>
      <c r="D223" s="22">
        <v>64219</v>
      </c>
      <c r="E223" s="22">
        <v>24849</v>
      </c>
      <c r="F223" s="22">
        <v>39364</v>
      </c>
      <c r="G223" s="92">
        <v>61.3</v>
      </c>
      <c r="H223" s="22">
        <v>7594</v>
      </c>
      <c r="I223" s="22">
        <v>4612</v>
      </c>
      <c r="J223" s="22">
        <v>3581</v>
      </c>
      <c r="K223" s="22">
        <v>6290</v>
      </c>
      <c r="L223" s="22">
        <v>19390</v>
      </c>
      <c r="M223" s="22">
        <v>2509</v>
      </c>
    </row>
    <row r="224" spans="1:13" x14ac:dyDescent="0.2">
      <c r="A224" s="10" t="s">
        <v>906</v>
      </c>
      <c r="B224" s="16" t="s">
        <v>907</v>
      </c>
      <c r="C224" s="16" t="s">
        <v>877</v>
      </c>
      <c r="D224" s="14">
        <v>3502</v>
      </c>
      <c r="E224" s="14">
        <v>965</v>
      </c>
      <c r="F224" s="14">
        <v>2537</v>
      </c>
      <c r="G224" s="18">
        <v>72.400000000000006</v>
      </c>
      <c r="H224" s="14">
        <v>411</v>
      </c>
      <c r="I224" s="14">
        <v>307</v>
      </c>
      <c r="J224" s="14">
        <v>190</v>
      </c>
      <c r="K224" s="14">
        <v>474</v>
      </c>
      <c r="L224" s="14">
        <v>1417</v>
      </c>
      <c r="M224" s="14">
        <v>45</v>
      </c>
    </row>
    <row r="225" spans="1:13" x14ac:dyDescent="0.2">
      <c r="A225" s="10" t="s">
        <v>908</v>
      </c>
      <c r="B225" s="16" t="s">
        <v>909</v>
      </c>
      <c r="C225" s="16" t="s">
        <v>877</v>
      </c>
      <c r="D225" s="14">
        <v>4411</v>
      </c>
      <c r="E225" s="14">
        <v>1715</v>
      </c>
      <c r="F225" s="14">
        <v>2696</v>
      </c>
      <c r="G225" s="18">
        <v>61.1</v>
      </c>
      <c r="H225" s="14">
        <v>622</v>
      </c>
      <c r="I225" s="14">
        <v>376</v>
      </c>
      <c r="J225" s="14">
        <v>399</v>
      </c>
      <c r="K225" s="14">
        <v>382</v>
      </c>
      <c r="L225" s="14">
        <v>1104</v>
      </c>
      <c r="M225" s="14">
        <v>189</v>
      </c>
    </row>
    <row r="226" spans="1:13" x14ac:dyDescent="0.2">
      <c r="A226" s="10" t="s">
        <v>910</v>
      </c>
      <c r="B226" s="16" t="s">
        <v>911</v>
      </c>
      <c r="C226" s="16" t="s">
        <v>877</v>
      </c>
      <c r="D226" s="14">
        <v>2579</v>
      </c>
      <c r="E226" s="14">
        <v>1465</v>
      </c>
      <c r="F226" s="14">
        <v>1114</v>
      </c>
      <c r="G226" s="18">
        <v>43.2</v>
      </c>
      <c r="H226" s="14">
        <v>199</v>
      </c>
      <c r="I226" s="14">
        <v>129</v>
      </c>
      <c r="J226" s="14">
        <v>96</v>
      </c>
      <c r="K226" s="14">
        <v>327</v>
      </c>
      <c r="L226" s="14">
        <v>452</v>
      </c>
      <c r="M226" s="14">
        <v>40</v>
      </c>
    </row>
    <row r="227" spans="1:13" x14ac:dyDescent="0.2">
      <c r="A227" s="10" t="s">
        <v>912</v>
      </c>
      <c r="B227" s="16" t="s">
        <v>913</v>
      </c>
      <c r="C227" s="16" t="s">
        <v>877</v>
      </c>
      <c r="D227" s="14">
        <v>4456</v>
      </c>
      <c r="E227" s="14">
        <v>985</v>
      </c>
      <c r="F227" s="14">
        <v>3470</v>
      </c>
      <c r="G227" s="18">
        <v>77.900000000000006</v>
      </c>
      <c r="H227" s="14">
        <v>592</v>
      </c>
      <c r="I227" s="14">
        <v>388</v>
      </c>
      <c r="J227" s="14">
        <v>122</v>
      </c>
      <c r="K227" s="14">
        <v>481</v>
      </c>
      <c r="L227" s="14">
        <v>2025</v>
      </c>
      <c r="M227" s="14">
        <v>250</v>
      </c>
    </row>
    <row r="228" spans="1:13" x14ac:dyDescent="0.2">
      <c r="A228" s="10" t="s">
        <v>914</v>
      </c>
      <c r="B228" s="16" t="s">
        <v>915</v>
      </c>
      <c r="C228" s="16" t="s">
        <v>877</v>
      </c>
      <c r="D228" s="14">
        <v>3228</v>
      </c>
      <c r="E228" s="14">
        <v>1989</v>
      </c>
      <c r="F228" s="14">
        <v>1238</v>
      </c>
      <c r="G228" s="18">
        <v>38.4</v>
      </c>
      <c r="H228" s="14">
        <v>327</v>
      </c>
      <c r="I228" s="14">
        <v>151</v>
      </c>
      <c r="J228" s="14">
        <v>141</v>
      </c>
      <c r="K228" s="14">
        <v>229</v>
      </c>
      <c r="L228" s="14">
        <v>379</v>
      </c>
      <c r="M228" s="14">
        <v>162</v>
      </c>
    </row>
    <row r="229" spans="1:13" x14ac:dyDescent="0.2">
      <c r="A229" s="10" t="s">
        <v>916</v>
      </c>
      <c r="B229" s="16" t="s">
        <v>917</v>
      </c>
      <c r="C229" s="16" t="s">
        <v>877</v>
      </c>
      <c r="D229" s="14">
        <v>4997</v>
      </c>
      <c r="E229" s="14">
        <v>2189</v>
      </c>
      <c r="F229" s="14">
        <v>2808</v>
      </c>
      <c r="G229" s="18">
        <v>56.2</v>
      </c>
      <c r="H229" s="14">
        <v>471</v>
      </c>
      <c r="I229" s="14">
        <v>218</v>
      </c>
      <c r="J229" s="14">
        <v>142</v>
      </c>
      <c r="K229" s="14">
        <v>768</v>
      </c>
      <c r="L229" s="14">
        <v>1116</v>
      </c>
      <c r="M229" s="14">
        <v>311</v>
      </c>
    </row>
    <row r="230" spans="1:13" x14ac:dyDescent="0.2">
      <c r="A230" s="10" t="s">
        <v>918</v>
      </c>
      <c r="B230" s="16" t="s">
        <v>919</v>
      </c>
      <c r="C230" s="16" t="s">
        <v>877</v>
      </c>
      <c r="D230" s="14">
        <v>4521</v>
      </c>
      <c r="E230" s="14">
        <v>1258</v>
      </c>
      <c r="F230" s="14">
        <v>3263</v>
      </c>
      <c r="G230" s="18">
        <v>72.2</v>
      </c>
      <c r="H230" s="14">
        <v>509</v>
      </c>
      <c r="I230" s="14">
        <v>237</v>
      </c>
      <c r="J230" s="14">
        <v>202</v>
      </c>
      <c r="K230" s="14">
        <v>388</v>
      </c>
      <c r="L230" s="14">
        <v>1985</v>
      </c>
      <c r="M230" s="14">
        <v>179</v>
      </c>
    </row>
    <row r="231" spans="1:13" x14ac:dyDescent="0.2">
      <c r="A231" s="10" t="s">
        <v>920</v>
      </c>
      <c r="B231" s="16" t="s">
        <v>921</v>
      </c>
      <c r="C231" s="16" t="s">
        <v>877</v>
      </c>
      <c r="D231" s="14">
        <v>3553</v>
      </c>
      <c r="E231" s="14">
        <v>1368</v>
      </c>
      <c r="F231" s="14">
        <v>2185</v>
      </c>
      <c r="G231" s="18">
        <v>61.5</v>
      </c>
      <c r="H231" s="14">
        <v>562</v>
      </c>
      <c r="I231" s="14">
        <v>382</v>
      </c>
      <c r="J231" s="14">
        <v>563</v>
      </c>
      <c r="K231" s="14">
        <v>482</v>
      </c>
      <c r="L231" s="14">
        <v>426</v>
      </c>
      <c r="M231" s="14">
        <v>152</v>
      </c>
    </row>
    <row r="232" spans="1:13" x14ac:dyDescent="0.2">
      <c r="A232" s="10" t="s">
        <v>922</v>
      </c>
      <c r="B232" s="16" t="s">
        <v>923</v>
      </c>
      <c r="C232" s="16" t="s">
        <v>877</v>
      </c>
      <c r="D232" s="14">
        <v>3355</v>
      </c>
      <c r="E232" s="14">
        <v>1363</v>
      </c>
      <c r="F232" s="14">
        <v>1992</v>
      </c>
      <c r="G232" s="18">
        <v>59.4</v>
      </c>
      <c r="H232" s="14">
        <v>416</v>
      </c>
      <c r="I232" s="14">
        <v>225</v>
      </c>
      <c r="J232" s="14">
        <v>172</v>
      </c>
      <c r="K232" s="14">
        <v>585</v>
      </c>
      <c r="L232" s="14">
        <v>647</v>
      </c>
      <c r="M232" s="14">
        <v>172</v>
      </c>
    </row>
    <row r="233" spans="1:13" x14ac:dyDescent="0.2">
      <c r="A233" s="10" t="s">
        <v>924</v>
      </c>
      <c r="B233" s="16" t="s">
        <v>925</v>
      </c>
      <c r="C233" s="16" t="s">
        <v>877</v>
      </c>
      <c r="D233" s="14">
        <v>3311</v>
      </c>
      <c r="E233" s="14">
        <v>725</v>
      </c>
      <c r="F233" s="14">
        <v>2584</v>
      </c>
      <c r="G233" s="18">
        <v>78</v>
      </c>
      <c r="H233" s="14">
        <v>654</v>
      </c>
      <c r="I233" s="14">
        <v>563</v>
      </c>
      <c r="J233" s="14">
        <v>99</v>
      </c>
      <c r="K233" s="14">
        <v>183</v>
      </c>
      <c r="L233" s="14">
        <v>1595</v>
      </c>
      <c r="M233" s="14">
        <v>53</v>
      </c>
    </row>
    <row r="234" spans="1:13" x14ac:dyDescent="0.2">
      <c r="A234" s="10" t="s">
        <v>926</v>
      </c>
      <c r="B234" s="16" t="s">
        <v>927</v>
      </c>
      <c r="C234" s="16" t="s">
        <v>877</v>
      </c>
      <c r="D234" s="14">
        <v>3165</v>
      </c>
      <c r="E234" s="14">
        <v>1728</v>
      </c>
      <c r="F234" s="14">
        <v>1436</v>
      </c>
      <c r="G234" s="18">
        <v>45.4</v>
      </c>
      <c r="H234" s="14">
        <v>318</v>
      </c>
      <c r="I234" s="14">
        <v>236</v>
      </c>
      <c r="J234" s="14">
        <v>208</v>
      </c>
      <c r="K234" s="14">
        <v>253</v>
      </c>
      <c r="L234" s="14">
        <v>603</v>
      </c>
      <c r="M234" s="14">
        <v>54</v>
      </c>
    </row>
    <row r="235" spans="1:13" x14ac:dyDescent="0.2">
      <c r="A235" s="10" t="s">
        <v>928</v>
      </c>
      <c r="B235" s="16" t="s">
        <v>929</v>
      </c>
      <c r="C235" s="16" t="s">
        <v>877</v>
      </c>
      <c r="D235" s="14">
        <v>3947</v>
      </c>
      <c r="E235" s="14">
        <v>1196</v>
      </c>
      <c r="F235" s="14">
        <v>2750</v>
      </c>
      <c r="G235" s="18">
        <v>69.7</v>
      </c>
      <c r="H235" s="14">
        <v>334</v>
      </c>
      <c r="I235" s="14">
        <v>207</v>
      </c>
      <c r="J235" s="14">
        <v>111</v>
      </c>
      <c r="K235" s="14">
        <v>313</v>
      </c>
      <c r="L235" s="14">
        <v>1920</v>
      </c>
      <c r="M235" s="14">
        <v>72</v>
      </c>
    </row>
    <row r="236" spans="1:13" x14ac:dyDescent="0.2">
      <c r="A236" s="10" t="s">
        <v>930</v>
      </c>
      <c r="B236" s="16" t="s">
        <v>931</v>
      </c>
      <c r="C236" s="16" t="s">
        <v>877</v>
      </c>
      <c r="D236" s="14">
        <v>3574</v>
      </c>
      <c r="E236" s="14">
        <v>907</v>
      </c>
      <c r="F236" s="14">
        <v>2667</v>
      </c>
      <c r="G236" s="18">
        <v>74.599999999999994</v>
      </c>
      <c r="H236" s="14">
        <v>318</v>
      </c>
      <c r="I236" s="14">
        <v>204</v>
      </c>
      <c r="J236" s="14">
        <v>182</v>
      </c>
      <c r="K236" s="14">
        <v>306</v>
      </c>
      <c r="L236" s="14">
        <v>1756</v>
      </c>
      <c r="M236" s="14">
        <v>105</v>
      </c>
    </row>
    <row r="237" spans="1:13" x14ac:dyDescent="0.2">
      <c r="A237" s="10" t="s">
        <v>932</v>
      </c>
      <c r="B237" s="16" t="s">
        <v>933</v>
      </c>
      <c r="C237" s="16" t="s">
        <v>877</v>
      </c>
      <c r="D237" s="14">
        <v>1669</v>
      </c>
      <c r="E237" s="14">
        <v>859</v>
      </c>
      <c r="F237" s="14">
        <v>810</v>
      </c>
      <c r="G237" s="18">
        <v>48.5</v>
      </c>
      <c r="H237" s="14">
        <v>187</v>
      </c>
      <c r="I237" s="14">
        <v>94</v>
      </c>
      <c r="J237" s="14">
        <v>110</v>
      </c>
      <c r="K237" s="14">
        <v>90</v>
      </c>
      <c r="L237" s="14">
        <v>351</v>
      </c>
      <c r="M237" s="14">
        <v>72</v>
      </c>
    </row>
    <row r="238" spans="1:13" x14ac:dyDescent="0.2">
      <c r="A238" s="10" t="s">
        <v>934</v>
      </c>
      <c r="B238" s="16" t="s">
        <v>935</v>
      </c>
      <c r="C238" s="16" t="s">
        <v>877</v>
      </c>
      <c r="D238" s="14">
        <v>2468</v>
      </c>
      <c r="E238" s="14">
        <v>1048</v>
      </c>
      <c r="F238" s="14">
        <v>1420</v>
      </c>
      <c r="G238" s="18">
        <v>57.5</v>
      </c>
      <c r="H238" s="14">
        <v>341</v>
      </c>
      <c r="I238" s="14">
        <v>162</v>
      </c>
      <c r="J238" s="14">
        <v>134</v>
      </c>
      <c r="K238" s="14">
        <v>233</v>
      </c>
      <c r="L238" s="14">
        <v>548</v>
      </c>
      <c r="M238" s="14">
        <v>164</v>
      </c>
    </row>
    <row r="239" spans="1:13" x14ac:dyDescent="0.2">
      <c r="A239" s="10" t="s">
        <v>936</v>
      </c>
      <c r="B239" s="16" t="s">
        <v>937</v>
      </c>
      <c r="C239" s="16" t="s">
        <v>877</v>
      </c>
      <c r="D239" s="14">
        <v>4092</v>
      </c>
      <c r="E239" s="14">
        <v>1275</v>
      </c>
      <c r="F239" s="14">
        <v>2817</v>
      </c>
      <c r="G239" s="18">
        <v>68.8</v>
      </c>
      <c r="H239" s="14">
        <v>384</v>
      </c>
      <c r="I239" s="14">
        <v>265</v>
      </c>
      <c r="J239" s="14">
        <v>266</v>
      </c>
      <c r="K239" s="14">
        <v>289</v>
      </c>
      <c r="L239" s="14">
        <v>1805</v>
      </c>
      <c r="M239" s="14">
        <v>73</v>
      </c>
    </row>
    <row r="240" spans="1:13" x14ac:dyDescent="0.2">
      <c r="A240" s="10" t="s">
        <v>938</v>
      </c>
      <c r="B240" s="16" t="s">
        <v>939</v>
      </c>
      <c r="C240" s="16" t="s">
        <v>877</v>
      </c>
      <c r="D240" s="14">
        <v>1663</v>
      </c>
      <c r="E240" s="14">
        <v>937</v>
      </c>
      <c r="F240" s="14">
        <v>726</v>
      </c>
      <c r="G240" s="18">
        <v>43.7</v>
      </c>
      <c r="H240" s="14">
        <v>224</v>
      </c>
      <c r="I240" s="14">
        <v>68</v>
      </c>
      <c r="J240" s="14">
        <v>111</v>
      </c>
      <c r="K240" s="14">
        <v>75</v>
      </c>
      <c r="L240" s="14">
        <v>197</v>
      </c>
      <c r="M240" s="14">
        <v>119</v>
      </c>
    </row>
    <row r="241" spans="1:13" x14ac:dyDescent="0.2">
      <c r="A241" s="10" t="s">
        <v>940</v>
      </c>
      <c r="B241" s="16" t="s">
        <v>941</v>
      </c>
      <c r="C241" s="16" t="s">
        <v>877</v>
      </c>
      <c r="D241" s="14">
        <v>1955</v>
      </c>
      <c r="E241" s="14">
        <v>1045</v>
      </c>
      <c r="F241" s="14">
        <v>910</v>
      </c>
      <c r="G241" s="18">
        <v>46.5</v>
      </c>
      <c r="H241" s="14">
        <v>207</v>
      </c>
      <c r="I241" s="14">
        <v>116</v>
      </c>
      <c r="J241" s="14">
        <v>96</v>
      </c>
      <c r="K241" s="14">
        <v>133</v>
      </c>
      <c r="L241" s="14">
        <v>406</v>
      </c>
      <c r="M241" s="14">
        <v>68</v>
      </c>
    </row>
    <row r="242" spans="1:13" x14ac:dyDescent="0.2">
      <c r="A242" s="10" t="s">
        <v>942</v>
      </c>
      <c r="B242" s="16" t="s">
        <v>943</v>
      </c>
      <c r="C242" s="16" t="s">
        <v>877</v>
      </c>
      <c r="D242" s="14">
        <v>3773</v>
      </c>
      <c r="E242" s="14">
        <v>1832</v>
      </c>
      <c r="F242" s="14">
        <v>1941</v>
      </c>
      <c r="G242" s="18">
        <v>51.4</v>
      </c>
      <c r="H242" s="14">
        <v>518</v>
      </c>
      <c r="I242" s="14">
        <v>284</v>
      </c>
      <c r="J242" s="14">
        <v>237</v>
      </c>
      <c r="K242" s="14">
        <v>299</v>
      </c>
      <c r="L242" s="14">
        <v>658</v>
      </c>
      <c r="M242" s="14">
        <v>229</v>
      </c>
    </row>
    <row r="243" spans="1:13" s="23" customFormat="1" ht="15.75" x14ac:dyDescent="0.25">
      <c r="A243" s="21" t="s">
        <v>944</v>
      </c>
      <c r="B243" s="93" t="s">
        <v>945</v>
      </c>
      <c r="C243" s="93" t="s">
        <v>473</v>
      </c>
      <c r="D243" s="22">
        <v>87765</v>
      </c>
      <c r="E243" s="22">
        <v>60663</v>
      </c>
      <c r="F243" s="22">
        <v>27098</v>
      </c>
      <c r="G243" s="92">
        <v>30.9</v>
      </c>
      <c r="H243" s="22">
        <v>6652</v>
      </c>
      <c r="I243" s="22">
        <v>3940</v>
      </c>
      <c r="J243" s="22">
        <v>1577</v>
      </c>
      <c r="K243" s="22">
        <v>5714</v>
      </c>
      <c r="L243" s="22">
        <v>11175</v>
      </c>
      <c r="M243" s="22">
        <v>1980</v>
      </c>
    </row>
    <row r="244" spans="1:13" x14ac:dyDescent="0.2">
      <c r="A244" s="10" t="s">
        <v>946</v>
      </c>
      <c r="B244" s="16" t="s">
        <v>947</v>
      </c>
      <c r="C244" s="16" t="s">
        <v>476</v>
      </c>
      <c r="D244" s="14">
        <v>1362</v>
      </c>
      <c r="E244" s="14">
        <v>942</v>
      </c>
      <c r="F244" s="14">
        <v>420</v>
      </c>
      <c r="G244" s="18">
        <v>30.8</v>
      </c>
      <c r="H244" s="14">
        <v>113</v>
      </c>
      <c r="I244" s="14">
        <v>69</v>
      </c>
      <c r="J244" s="14">
        <v>39</v>
      </c>
      <c r="K244" s="14">
        <v>68</v>
      </c>
      <c r="L244" s="14">
        <v>163</v>
      </c>
      <c r="M244" s="14">
        <v>37</v>
      </c>
    </row>
    <row r="245" spans="1:13" x14ac:dyDescent="0.2">
      <c r="A245" s="10" t="s">
        <v>948</v>
      </c>
      <c r="B245" s="16" t="s">
        <v>949</v>
      </c>
      <c r="C245" s="16" t="s">
        <v>476</v>
      </c>
      <c r="D245" s="14">
        <v>2118</v>
      </c>
      <c r="E245" s="14">
        <v>1421</v>
      </c>
      <c r="F245" s="14">
        <v>697</v>
      </c>
      <c r="G245" s="18">
        <v>32.9</v>
      </c>
      <c r="H245" s="14">
        <v>230</v>
      </c>
      <c r="I245" s="14">
        <v>86</v>
      </c>
      <c r="J245" s="14">
        <v>47</v>
      </c>
      <c r="K245" s="14">
        <v>134</v>
      </c>
      <c r="L245" s="14">
        <v>205</v>
      </c>
      <c r="M245" s="14">
        <v>81</v>
      </c>
    </row>
    <row r="246" spans="1:13" x14ac:dyDescent="0.2">
      <c r="A246" s="10" t="s">
        <v>950</v>
      </c>
      <c r="B246" s="16" t="s">
        <v>951</v>
      </c>
      <c r="C246" s="16" t="s">
        <v>476</v>
      </c>
      <c r="D246" s="14">
        <v>961</v>
      </c>
      <c r="E246" s="14">
        <v>837</v>
      </c>
      <c r="F246" s="14">
        <v>124</v>
      </c>
      <c r="G246" s="18">
        <v>12.9</v>
      </c>
      <c r="H246" s="14">
        <v>28</v>
      </c>
      <c r="I246" s="14">
        <v>12</v>
      </c>
      <c r="J246" s="14">
        <v>4</v>
      </c>
      <c r="K246" s="14">
        <v>38</v>
      </c>
      <c r="L246" s="14">
        <v>43</v>
      </c>
      <c r="M246" s="14">
        <v>11</v>
      </c>
    </row>
    <row r="247" spans="1:13" x14ac:dyDescent="0.2">
      <c r="A247" s="10" t="s">
        <v>952</v>
      </c>
      <c r="B247" s="16" t="s">
        <v>953</v>
      </c>
      <c r="C247" s="16" t="s">
        <v>476</v>
      </c>
      <c r="D247" s="14">
        <v>2998</v>
      </c>
      <c r="E247" s="14">
        <v>2111</v>
      </c>
      <c r="F247" s="14">
        <v>887</v>
      </c>
      <c r="G247" s="18">
        <v>29.6</v>
      </c>
      <c r="H247" s="14">
        <v>222</v>
      </c>
      <c r="I247" s="14">
        <v>153</v>
      </c>
      <c r="J247" s="14">
        <v>60</v>
      </c>
      <c r="K247" s="14">
        <v>333</v>
      </c>
      <c r="L247" s="14">
        <v>234</v>
      </c>
      <c r="M247" s="14">
        <v>38</v>
      </c>
    </row>
    <row r="248" spans="1:13" x14ac:dyDescent="0.2">
      <c r="A248" s="10" t="s">
        <v>954</v>
      </c>
      <c r="B248" s="16" t="s">
        <v>955</v>
      </c>
      <c r="C248" s="16" t="s">
        <v>476</v>
      </c>
      <c r="D248" s="14">
        <v>3202</v>
      </c>
      <c r="E248" s="14">
        <v>1565</v>
      </c>
      <c r="F248" s="14">
        <v>1637</v>
      </c>
      <c r="G248" s="18">
        <v>51.1</v>
      </c>
      <c r="H248" s="14">
        <v>344</v>
      </c>
      <c r="I248" s="14">
        <v>244</v>
      </c>
      <c r="J248" s="14">
        <v>71</v>
      </c>
      <c r="K248" s="14">
        <v>531</v>
      </c>
      <c r="L248" s="14">
        <v>632</v>
      </c>
      <c r="M248" s="14">
        <v>59</v>
      </c>
    </row>
    <row r="249" spans="1:13" x14ac:dyDescent="0.2">
      <c r="A249" s="10" t="s">
        <v>956</v>
      </c>
      <c r="B249" s="16" t="s">
        <v>957</v>
      </c>
      <c r="C249" s="16" t="s">
        <v>476</v>
      </c>
      <c r="D249" s="14">
        <v>2052</v>
      </c>
      <c r="E249" s="14">
        <v>1256</v>
      </c>
      <c r="F249" s="14">
        <v>796</v>
      </c>
      <c r="G249" s="18">
        <v>38.799999999999997</v>
      </c>
      <c r="H249" s="14">
        <v>146</v>
      </c>
      <c r="I249" s="14">
        <v>98</v>
      </c>
      <c r="J249" s="14">
        <v>34</v>
      </c>
      <c r="K249" s="14">
        <v>225</v>
      </c>
      <c r="L249" s="14">
        <v>352</v>
      </c>
      <c r="M249" s="14">
        <v>39</v>
      </c>
    </row>
    <row r="250" spans="1:13" x14ac:dyDescent="0.2">
      <c r="A250" s="10" t="s">
        <v>958</v>
      </c>
      <c r="B250" s="16" t="s">
        <v>959</v>
      </c>
      <c r="C250" s="16" t="s">
        <v>476</v>
      </c>
      <c r="D250" s="14">
        <v>2100</v>
      </c>
      <c r="E250" s="14">
        <v>817</v>
      </c>
      <c r="F250" s="14">
        <v>1283</v>
      </c>
      <c r="G250" s="18">
        <v>61.1</v>
      </c>
      <c r="H250" s="14">
        <v>223</v>
      </c>
      <c r="I250" s="14">
        <v>122</v>
      </c>
      <c r="J250" s="14">
        <v>69</v>
      </c>
      <c r="K250" s="14">
        <v>291</v>
      </c>
      <c r="L250" s="14">
        <v>636</v>
      </c>
      <c r="M250" s="14">
        <v>64</v>
      </c>
    </row>
    <row r="251" spans="1:13" x14ac:dyDescent="0.2">
      <c r="A251" s="10" t="s">
        <v>960</v>
      </c>
      <c r="B251" s="16" t="s">
        <v>961</v>
      </c>
      <c r="C251" s="16" t="s">
        <v>476</v>
      </c>
      <c r="D251" s="14">
        <v>2272</v>
      </c>
      <c r="E251" s="14">
        <v>614</v>
      </c>
      <c r="F251" s="14">
        <v>1657</v>
      </c>
      <c r="G251" s="18">
        <v>72.900000000000006</v>
      </c>
      <c r="H251" s="14">
        <v>225</v>
      </c>
      <c r="I251" s="14">
        <v>170</v>
      </c>
      <c r="J251" s="14">
        <v>34</v>
      </c>
      <c r="K251" s="14">
        <v>195</v>
      </c>
      <c r="L251" s="14">
        <v>1179</v>
      </c>
      <c r="M251" s="14">
        <v>24</v>
      </c>
    </row>
    <row r="252" spans="1:13" x14ac:dyDescent="0.2">
      <c r="A252" s="10" t="s">
        <v>962</v>
      </c>
      <c r="B252" s="16" t="s">
        <v>963</v>
      </c>
      <c r="C252" s="16" t="s">
        <v>476</v>
      </c>
      <c r="D252" s="14">
        <v>2523</v>
      </c>
      <c r="E252" s="14">
        <v>1335</v>
      </c>
      <c r="F252" s="14">
        <v>1188</v>
      </c>
      <c r="G252" s="18">
        <v>47.1</v>
      </c>
      <c r="H252" s="14">
        <v>306</v>
      </c>
      <c r="I252" s="14">
        <v>222</v>
      </c>
      <c r="J252" s="14">
        <v>55</v>
      </c>
      <c r="K252" s="14">
        <v>256</v>
      </c>
      <c r="L252" s="14">
        <v>535</v>
      </c>
      <c r="M252" s="14">
        <v>36</v>
      </c>
    </row>
    <row r="253" spans="1:13" x14ac:dyDescent="0.2">
      <c r="A253" s="10" t="s">
        <v>964</v>
      </c>
      <c r="B253" s="16" t="s">
        <v>965</v>
      </c>
      <c r="C253" s="16" t="s">
        <v>476</v>
      </c>
      <c r="D253" s="14">
        <v>1363</v>
      </c>
      <c r="E253" s="14">
        <v>1078</v>
      </c>
      <c r="F253" s="14">
        <v>285</v>
      </c>
      <c r="G253" s="18">
        <v>20.9</v>
      </c>
      <c r="H253" s="14">
        <v>78</v>
      </c>
      <c r="I253" s="14">
        <v>46</v>
      </c>
      <c r="J253" s="14">
        <v>11</v>
      </c>
      <c r="K253" s="14">
        <v>68</v>
      </c>
      <c r="L253" s="14">
        <v>100</v>
      </c>
      <c r="M253" s="14">
        <v>28</v>
      </c>
    </row>
    <row r="254" spans="1:13" x14ac:dyDescent="0.2">
      <c r="A254" s="10" t="s">
        <v>966</v>
      </c>
      <c r="B254" s="16" t="s">
        <v>967</v>
      </c>
      <c r="C254" s="16" t="s">
        <v>476</v>
      </c>
      <c r="D254" s="14">
        <v>1343</v>
      </c>
      <c r="E254" s="14">
        <v>860</v>
      </c>
      <c r="F254" s="14">
        <v>483</v>
      </c>
      <c r="G254" s="18">
        <v>36</v>
      </c>
      <c r="H254" s="14">
        <v>103</v>
      </c>
      <c r="I254" s="14">
        <v>50</v>
      </c>
      <c r="J254" s="14">
        <v>34</v>
      </c>
      <c r="K254" s="14">
        <v>57</v>
      </c>
      <c r="L254" s="14">
        <v>226</v>
      </c>
      <c r="M254" s="14">
        <v>63</v>
      </c>
    </row>
    <row r="255" spans="1:13" x14ac:dyDescent="0.2">
      <c r="A255" s="10" t="s">
        <v>968</v>
      </c>
      <c r="B255" s="16" t="s">
        <v>969</v>
      </c>
      <c r="C255" s="16" t="s">
        <v>476</v>
      </c>
      <c r="D255" s="14">
        <v>1652</v>
      </c>
      <c r="E255" s="14">
        <v>1146</v>
      </c>
      <c r="F255" s="14">
        <v>506</v>
      </c>
      <c r="G255" s="18">
        <v>30.6</v>
      </c>
      <c r="H255" s="14">
        <v>114</v>
      </c>
      <c r="I255" s="14">
        <v>60</v>
      </c>
      <c r="J255" s="14">
        <v>35</v>
      </c>
      <c r="K255" s="14">
        <v>90</v>
      </c>
      <c r="L255" s="14">
        <v>238</v>
      </c>
      <c r="M255" s="14">
        <v>29</v>
      </c>
    </row>
    <row r="256" spans="1:13" x14ac:dyDescent="0.2">
      <c r="A256" s="10" t="s">
        <v>970</v>
      </c>
      <c r="B256" s="16" t="s">
        <v>971</v>
      </c>
      <c r="C256" s="16" t="s">
        <v>476</v>
      </c>
      <c r="D256" s="14">
        <v>5658</v>
      </c>
      <c r="E256" s="14">
        <v>3845</v>
      </c>
      <c r="F256" s="14">
        <v>1813</v>
      </c>
      <c r="G256" s="18">
        <v>32</v>
      </c>
      <c r="H256" s="14">
        <v>462</v>
      </c>
      <c r="I256" s="14">
        <v>276</v>
      </c>
      <c r="J256" s="14">
        <v>81</v>
      </c>
      <c r="K256" s="14">
        <v>237</v>
      </c>
      <c r="L256" s="14">
        <v>899</v>
      </c>
      <c r="M256" s="14">
        <v>134</v>
      </c>
    </row>
    <row r="257" spans="1:13" s="23" customFormat="1" ht="15.75" x14ac:dyDescent="0.25">
      <c r="A257" s="21" t="s">
        <v>972</v>
      </c>
      <c r="B257" s="93" t="s">
        <v>973</v>
      </c>
      <c r="C257" s="93" t="s">
        <v>545</v>
      </c>
      <c r="D257" s="22">
        <v>4324</v>
      </c>
      <c r="E257" s="22">
        <v>3492</v>
      </c>
      <c r="F257" s="22">
        <v>832</v>
      </c>
      <c r="G257" s="92">
        <v>19.2</v>
      </c>
      <c r="H257" s="22">
        <v>224</v>
      </c>
      <c r="I257" s="22">
        <v>116</v>
      </c>
      <c r="J257" s="22">
        <v>55</v>
      </c>
      <c r="K257" s="22">
        <v>166</v>
      </c>
      <c r="L257" s="22">
        <v>306</v>
      </c>
      <c r="M257" s="22">
        <v>81</v>
      </c>
    </row>
    <row r="258" spans="1:13" x14ac:dyDescent="0.2">
      <c r="A258" s="10" t="s">
        <v>974</v>
      </c>
      <c r="B258" s="16" t="s">
        <v>975</v>
      </c>
      <c r="C258" s="16" t="s">
        <v>548</v>
      </c>
      <c r="D258" s="14">
        <v>818</v>
      </c>
      <c r="E258" s="14">
        <v>562</v>
      </c>
      <c r="F258" s="14">
        <v>256</v>
      </c>
      <c r="G258" s="18">
        <v>31.3</v>
      </c>
      <c r="H258" s="14">
        <v>63</v>
      </c>
      <c r="I258" s="14">
        <v>34</v>
      </c>
      <c r="J258" s="14">
        <v>22</v>
      </c>
      <c r="K258" s="14">
        <v>54</v>
      </c>
      <c r="L258" s="14">
        <v>99</v>
      </c>
      <c r="M258" s="14">
        <v>18</v>
      </c>
    </row>
    <row r="259" spans="1:13" x14ac:dyDescent="0.2">
      <c r="A259" s="10" t="s">
        <v>976</v>
      </c>
      <c r="B259" s="16" t="s">
        <v>977</v>
      </c>
      <c r="C259" s="16" t="s">
        <v>548</v>
      </c>
      <c r="D259" s="14">
        <v>828</v>
      </c>
      <c r="E259" s="14">
        <v>635</v>
      </c>
      <c r="F259" s="14">
        <v>193</v>
      </c>
      <c r="G259" s="18">
        <v>23.3</v>
      </c>
      <c r="H259" s="14">
        <v>42</v>
      </c>
      <c r="I259" s="14">
        <v>25</v>
      </c>
      <c r="J259" s="14">
        <v>12</v>
      </c>
      <c r="K259" s="14">
        <v>34</v>
      </c>
      <c r="L259" s="14">
        <v>89</v>
      </c>
      <c r="M259" s="14">
        <v>16</v>
      </c>
    </row>
    <row r="260" spans="1:13" x14ac:dyDescent="0.2">
      <c r="A260" s="10" t="s">
        <v>978</v>
      </c>
      <c r="B260" s="16" t="s">
        <v>979</v>
      </c>
      <c r="C260" s="16" t="s">
        <v>548</v>
      </c>
      <c r="D260" s="14">
        <v>741</v>
      </c>
      <c r="E260" s="14">
        <v>601</v>
      </c>
      <c r="F260" s="14">
        <v>140</v>
      </c>
      <c r="G260" s="18">
        <v>18.899999999999999</v>
      </c>
      <c r="H260" s="14">
        <v>41</v>
      </c>
      <c r="I260" s="14">
        <v>18</v>
      </c>
      <c r="J260" s="14">
        <v>9</v>
      </c>
      <c r="K260" s="14">
        <v>34</v>
      </c>
      <c r="L260" s="14">
        <v>46</v>
      </c>
      <c r="M260" s="14">
        <v>10</v>
      </c>
    </row>
    <row r="261" spans="1:13" x14ac:dyDescent="0.2">
      <c r="A261" s="10" t="s">
        <v>980</v>
      </c>
      <c r="B261" s="16" t="s">
        <v>981</v>
      </c>
      <c r="C261" s="16" t="s">
        <v>548</v>
      </c>
      <c r="D261" s="14">
        <v>634</v>
      </c>
      <c r="E261" s="14">
        <v>553</v>
      </c>
      <c r="F261" s="14">
        <v>81</v>
      </c>
      <c r="G261" s="18">
        <v>12.8</v>
      </c>
      <c r="H261" s="14">
        <v>19</v>
      </c>
      <c r="I261" s="14">
        <v>11</v>
      </c>
      <c r="J261" s="14">
        <v>1</v>
      </c>
      <c r="K261" s="14">
        <v>16</v>
      </c>
      <c r="L261" s="14">
        <v>32</v>
      </c>
      <c r="M261" s="14">
        <v>13</v>
      </c>
    </row>
    <row r="262" spans="1:13" x14ac:dyDescent="0.2">
      <c r="A262" s="10" t="s">
        <v>982</v>
      </c>
      <c r="B262" s="16" t="s">
        <v>983</v>
      </c>
      <c r="C262" s="16" t="s">
        <v>548</v>
      </c>
      <c r="D262" s="14">
        <v>1303</v>
      </c>
      <c r="E262" s="14">
        <v>1141</v>
      </c>
      <c r="F262" s="14">
        <v>162</v>
      </c>
      <c r="G262" s="18">
        <v>12.4</v>
      </c>
      <c r="H262" s="14">
        <v>59</v>
      </c>
      <c r="I262" s="14">
        <v>28</v>
      </c>
      <c r="J262" s="14">
        <v>11</v>
      </c>
      <c r="K262" s="14">
        <v>28</v>
      </c>
      <c r="L262" s="14">
        <v>40</v>
      </c>
      <c r="M262" s="14">
        <v>24</v>
      </c>
    </row>
    <row r="263" spans="1:13" s="23" customFormat="1" ht="15.75" x14ac:dyDescent="0.25">
      <c r="A263" s="21" t="s">
        <v>984</v>
      </c>
      <c r="B263" s="93" t="s">
        <v>985</v>
      </c>
      <c r="C263" s="93" t="s">
        <v>545</v>
      </c>
      <c r="D263" s="22">
        <v>12090</v>
      </c>
      <c r="E263" s="22">
        <v>9561</v>
      </c>
      <c r="F263" s="22">
        <v>2529</v>
      </c>
      <c r="G263" s="92">
        <v>20.9</v>
      </c>
      <c r="H263" s="22">
        <v>653</v>
      </c>
      <c r="I263" s="22">
        <v>354</v>
      </c>
      <c r="J263" s="22">
        <v>116</v>
      </c>
      <c r="K263" s="22">
        <v>556</v>
      </c>
      <c r="L263" s="22">
        <v>986</v>
      </c>
      <c r="M263" s="22">
        <v>218</v>
      </c>
    </row>
    <row r="264" spans="1:13" x14ac:dyDescent="0.2">
      <c r="A264" s="10" t="s">
        <v>986</v>
      </c>
      <c r="B264" s="16" t="s">
        <v>987</v>
      </c>
      <c r="C264" s="16" t="s">
        <v>548</v>
      </c>
      <c r="D264" s="14">
        <v>1910</v>
      </c>
      <c r="E264" s="14">
        <v>1339</v>
      </c>
      <c r="F264" s="14">
        <v>571</v>
      </c>
      <c r="G264" s="18">
        <v>29.9</v>
      </c>
      <c r="H264" s="14">
        <v>135</v>
      </c>
      <c r="I264" s="14">
        <v>86</v>
      </c>
      <c r="J264" s="14">
        <v>30</v>
      </c>
      <c r="K264" s="14">
        <v>149</v>
      </c>
      <c r="L264" s="14">
        <v>228</v>
      </c>
      <c r="M264" s="14">
        <v>29</v>
      </c>
    </row>
    <row r="265" spans="1:13" x14ac:dyDescent="0.2">
      <c r="A265" s="10" t="s">
        <v>988</v>
      </c>
      <c r="B265" s="16" t="s">
        <v>989</v>
      </c>
      <c r="C265" s="16" t="s">
        <v>548</v>
      </c>
      <c r="D265" s="14">
        <v>991</v>
      </c>
      <c r="E265" s="14">
        <v>843</v>
      </c>
      <c r="F265" s="14">
        <v>148</v>
      </c>
      <c r="G265" s="18">
        <v>14.9</v>
      </c>
      <c r="H265" s="14">
        <v>52</v>
      </c>
      <c r="I265" s="14">
        <v>34</v>
      </c>
      <c r="J265" s="14">
        <v>7</v>
      </c>
      <c r="K265" s="14">
        <v>22</v>
      </c>
      <c r="L265" s="14">
        <v>50</v>
      </c>
      <c r="M265" s="14">
        <v>17</v>
      </c>
    </row>
    <row r="266" spans="1:13" x14ac:dyDescent="0.2">
      <c r="A266" s="10" t="s">
        <v>990</v>
      </c>
      <c r="B266" s="16" t="s">
        <v>991</v>
      </c>
      <c r="C266" s="16" t="s">
        <v>548</v>
      </c>
      <c r="D266" s="14">
        <v>1242</v>
      </c>
      <c r="E266" s="14">
        <v>1038</v>
      </c>
      <c r="F266" s="14">
        <v>204</v>
      </c>
      <c r="G266" s="18">
        <v>16.399999999999999</v>
      </c>
      <c r="H266" s="14">
        <v>51</v>
      </c>
      <c r="I266" s="14">
        <v>35</v>
      </c>
      <c r="J266" s="14">
        <v>7</v>
      </c>
      <c r="K266" s="14">
        <v>64</v>
      </c>
      <c r="L266" s="14">
        <v>64</v>
      </c>
      <c r="M266" s="14">
        <v>18</v>
      </c>
    </row>
    <row r="267" spans="1:13" x14ac:dyDescent="0.2">
      <c r="A267" s="10" t="s">
        <v>992</v>
      </c>
      <c r="B267" s="16" t="s">
        <v>993</v>
      </c>
      <c r="C267" s="16" t="s">
        <v>548</v>
      </c>
      <c r="D267" s="14">
        <v>801</v>
      </c>
      <c r="E267" s="14">
        <v>681</v>
      </c>
      <c r="F267" s="14">
        <v>120</v>
      </c>
      <c r="G267" s="18">
        <v>15</v>
      </c>
      <c r="H267" s="14">
        <v>40</v>
      </c>
      <c r="I267" s="14">
        <v>21</v>
      </c>
      <c r="J267" s="14">
        <v>12</v>
      </c>
      <c r="K267" s="14">
        <v>13</v>
      </c>
      <c r="L267" s="14">
        <v>38</v>
      </c>
      <c r="M267" s="14">
        <v>17</v>
      </c>
    </row>
    <row r="268" spans="1:13" x14ac:dyDescent="0.2">
      <c r="A268" s="10" t="s">
        <v>994</v>
      </c>
      <c r="B268" s="16" t="s">
        <v>995</v>
      </c>
      <c r="C268" s="16" t="s">
        <v>548</v>
      </c>
      <c r="D268" s="14">
        <v>622</v>
      </c>
      <c r="E268" s="14">
        <v>517</v>
      </c>
      <c r="F268" s="14">
        <v>105</v>
      </c>
      <c r="G268" s="18">
        <v>16.899999999999999</v>
      </c>
      <c r="H268" s="14">
        <v>30</v>
      </c>
      <c r="I268" s="14">
        <v>13</v>
      </c>
      <c r="J268" s="14">
        <v>7</v>
      </c>
      <c r="K268" s="14">
        <v>20</v>
      </c>
      <c r="L268" s="14">
        <v>31</v>
      </c>
      <c r="M268" s="14">
        <v>17</v>
      </c>
    </row>
    <row r="269" spans="1:13" x14ac:dyDescent="0.2">
      <c r="A269" s="10" t="s">
        <v>996</v>
      </c>
      <c r="B269" s="16" t="s">
        <v>997</v>
      </c>
      <c r="C269" s="16" t="s">
        <v>548</v>
      </c>
      <c r="D269" s="14">
        <v>820</v>
      </c>
      <c r="E269" s="14">
        <v>655</v>
      </c>
      <c r="F269" s="14">
        <v>165</v>
      </c>
      <c r="G269" s="18">
        <v>20.100000000000001</v>
      </c>
      <c r="H269" s="14">
        <v>51</v>
      </c>
      <c r="I269" s="14">
        <v>17</v>
      </c>
      <c r="J269" s="14">
        <v>11</v>
      </c>
      <c r="K269" s="14">
        <v>39</v>
      </c>
      <c r="L269" s="14">
        <v>46</v>
      </c>
      <c r="M269" s="14">
        <v>18</v>
      </c>
    </row>
    <row r="270" spans="1:13" x14ac:dyDescent="0.2">
      <c r="A270" s="10" t="s">
        <v>998</v>
      </c>
      <c r="B270" s="16" t="s">
        <v>999</v>
      </c>
      <c r="C270" s="16" t="s">
        <v>548</v>
      </c>
      <c r="D270" s="14">
        <v>1106</v>
      </c>
      <c r="E270" s="14">
        <v>960</v>
      </c>
      <c r="F270" s="14">
        <v>146</v>
      </c>
      <c r="G270" s="18">
        <v>13.2</v>
      </c>
      <c r="H270" s="14">
        <v>45</v>
      </c>
      <c r="I270" s="14">
        <v>26</v>
      </c>
      <c r="J270" s="14">
        <v>4</v>
      </c>
      <c r="K270" s="14">
        <v>39</v>
      </c>
      <c r="L270" s="14">
        <v>49</v>
      </c>
      <c r="M270" s="14">
        <v>9</v>
      </c>
    </row>
    <row r="271" spans="1:13" x14ac:dyDescent="0.2">
      <c r="A271" s="10" t="s">
        <v>1000</v>
      </c>
      <c r="B271" s="16" t="s">
        <v>1001</v>
      </c>
      <c r="C271" s="16" t="s">
        <v>548</v>
      </c>
      <c r="D271" s="14">
        <v>1105</v>
      </c>
      <c r="E271" s="14">
        <v>975</v>
      </c>
      <c r="F271" s="14">
        <v>130</v>
      </c>
      <c r="G271" s="18">
        <v>11.8</v>
      </c>
      <c r="H271" s="14">
        <v>44</v>
      </c>
      <c r="I271" s="14">
        <v>18</v>
      </c>
      <c r="J271" s="14">
        <v>8</v>
      </c>
      <c r="K271" s="14">
        <v>22</v>
      </c>
      <c r="L271" s="14">
        <v>39</v>
      </c>
      <c r="M271" s="14">
        <v>17</v>
      </c>
    </row>
    <row r="272" spans="1:13" x14ac:dyDescent="0.2">
      <c r="A272" s="10" t="s">
        <v>1002</v>
      </c>
      <c r="B272" s="16" t="s">
        <v>1003</v>
      </c>
      <c r="C272" s="16" t="s">
        <v>548</v>
      </c>
      <c r="D272" s="14">
        <v>1118</v>
      </c>
      <c r="E272" s="14">
        <v>630</v>
      </c>
      <c r="F272" s="14">
        <v>488</v>
      </c>
      <c r="G272" s="18">
        <v>43.6</v>
      </c>
      <c r="H272" s="14">
        <v>71</v>
      </c>
      <c r="I272" s="14">
        <v>37</v>
      </c>
      <c r="J272" s="14">
        <v>10</v>
      </c>
      <c r="K272" s="14">
        <v>89</v>
      </c>
      <c r="L272" s="14">
        <v>295</v>
      </c>
      <c r="M272" s="14">
        <v>23</v>
      </c>
    </row>
    <row r="273" spans="1:13" x14ac:dyDescent="0.2">
      <c r="A273" s="10" t="s">
        <v>1004</v>
      </c>
      <c r="B273" s="16" t="s">
        <v>1005</v>
      </c>
      <c r="C273" s="16" t="s">
        <v>548</v>
      </c>
      <c r="D273" s="14">
        <v>1184</v>
      </c>
      <c r="E273" s="14">
        <v>946</v>
      </c>
      <c r="F273" s="14">
        <v>238</v>
      </c>
      <c r="G273" s="18">
        <v>20.100000000000001</v>
      </c>
      <c r="H273" s="14">
        <v>73</v>
      </c>
      <c r="I273" s="14">
        <v>42</v>
      </c>
      <c r="J273" s="14">
        <v>10</v>
      </c>
      <c r="K273" s="14">
        <v>55</v>
      </c>
      <c r="L273" s="14">
        <v>70</v>
      </c>
      <c r="M273" s="14">
        <v>30</v>
      </c>
    </row>
    <row r="274" spans="1:13" x14ac:dyDescent="0.2">
      <c r="A274" s="10" t="s">
        <v>1006</v>
      </c>
      <c r="B274" s="16" t="s">
        <v>1007</v>
      </c>
      <c r="C274" s="16" t="s">
        <v>548</v>
      </c>
      <c r="D274" s="14">
        <v>1191</v>
      </c>
      <c r="E274" s="14">
        <v>977</v>
      </c>
      <c r="F274" s="14">
        <v>214</v>
      </c>
      <c r="G274" s="18">
        <v>18</v>
      </c>
      <c r="H274" s="14">
        <v>61</v>
      </c>
      <c r="I274" s="14">
        <v>25</v>
      </c>
      <c r="J274" s="14">
        <v>10</v>
      </c>
      <c r="K274" s="14">
        <v>44</v>
      </c>
      <c r="L274" s="14">
        <v>76</v>
      </c>
      <c r="M274" s="14">
        <v>23</v>
      </c>
    </row>
    <row r="275" spans="1:13" s="23" customFormat="1" ht="15.75" x14ac:dyDescent="0.25">
      <c r="A275" s="21" t="s">
        <v>1008</v>
      </c>
      <c r="B275" s="93" t="s">
        <v>1009</v>
      </c>
      <c r="C275" s="93" t="s">
        <v>545</v>
      </c>
      <c r="D275" s="22">
        <v>15710</v>
      </c>
      <c r="E275" s="22">
        <v>11735</v>
      </c>
      <c r="F275" s="22">
        <v>3975</v>
      </c>
      <c r="G275" s="92">
        <v>25.3</v>
      </c>
      <c r="H275" s="22">
        <v>1020</v>
      </c>
      <c r="I275" s="22">
        <v>701</v>
      </c>
      <c r="J275" s="22">
        <v>292</v>
      </c>
      <c r="K275" s="22">
        <v>1043</v>
      </c>
      <c r="L275" s="22">
        <v>1386</v>
      </c>
      <c r="M275" s="22">
        <v>234</v>
      </c>
    </row>
    <row r="276" spans="1:13" x14ac:dyDescent="0.2">
      <c r="A276" s="10" t="s">
        <v>1010</v>
      </c>
      <c r="B276" s="16" t="s">
        <v>1011</v>
      </c>
      <c r="C276" s="16" t="s">
        <v>548</v>
      </c>
      <c r="D276" s="14">
        <v>1463</v>
      </c>
      <c r="E276" s="14">
        <v>1046</v>
      </c>
      <c r="F276" s="14">
        <v>417</v>
      </c>
      <c r="G276" s="18">
        <v>28.5</v>
      </c>
      <c r="H276" s="14">
        <v>67</v>
      </c>
      <c r="I276" s="14">
        <v>39</v>
      </c>
      <c r="J276" s="14">
        <v>22</v>
      </c>
      <c r="K276" s="14">
        <v>116</v>
      </c>
      <c r="L276" s="14">
        <v>194</v>
      </c>
      <c r="M276" s="14">
        <v>18</v>
      </c>
    </row>
    <row r="277" spans="1:13" x14ac:dyDescent="0.2">
      <c r="A277" s="10" t="s">
        <v>1012</v>
      </c>
      <c r="B277" s="16" t="s">
        <v>1013</v>
      </c>
      <c r="C277" s="16" t="s">
        <v>548</v>
      </c>
      <c r="D277" s="14">
        <v>1246</v>
      </c>
      <c r="E277" s="14">
        <v>926</v>
      </c>
      <c r="F277" s="14">
        <v>320</v>
      </c>
      <c r="G277" s="18">
        <v>25.7</v>
      </c>
      <c r="H277" s="14">
        <v>90</v>
      </c>
      <c r="I277" s="14">
        <v>60</v>
      </c>
      <c r="J277" s="14">
        <v>24</v>
      </c>
      <c r="K277" s="14">
        <v>90</v>
      </c>
      <c r="L277" s="14">
        <v>100</v>
      </c>
      <c r="M277" s="14">
        <v>16</v>
      </c>
    </row>
    <row r="278" spans="1:13" x14ac:dyDescent="0.2">
      <c r="A278" s="10" t="s">
        <v>1014</v>
      </c>
      <c r="B278" s="16" t="s">
        <v>1015</v>
      </c>
      <c r="C278" s="16" t="s">
        <v>548</v>
      </c>
      <c r="D278" s="14">
        <v>1542</v>
      </c>
      <c r="E278" s="14">
        <v>938</v>
      </c>
      <c r="F278" s="14">
        <v>604</v>
      </c>
      <c r="G278" s="18">
        <v>39.200000000000003</v>
      </c>
      <c r="H278" s="14">
        <v>89</v>
      </c>
      <c r="I278" s="14">
        <v>62</v>
      </c>
      <c r="J278" s="14">
        <v>54</v>
      </c>
      <c r="K278" s="14">
        <v>234</v>
      </c>
      <c r="L278" s="14">
        <v>190</v>
      </c>
      <c r="M278" s="14">
        <v>37</v>
      </c>
    </row>
    <row r="279" spans="1:13" x14ac:dyDescent="0.2">
      <c r="A279" s="10" t="s">
        <v>1016</v>
      </c>
      <c r="B279" s="16" t="s">
        <v>1017</v>
      </c>
      <c r="C279" s="16" t="s">
        <v>548</v>
      </c>
      <c r="D279" s="14">
        <v>1041</v>
      </c>
      <c r="E279" s="14">
        <v>865</v>
      </c>
      <c r="F279" s="14">
        <v>176</v>
      </c>
      <c r="G279" s="18">
        <v>16.899999999999999</v>
      </c>
      <c r="H279" s="14">
        <v>53</v>
      </c>
      <c r="I279" s="14">
        <v>37</v>
      </c>
      <c r="J279" s="14">
        <v>7</v>
      </c>
      <c r="K279" s="14">
        <v>30</v>
      </c>
      <c r="L279" s="14">
        <v>75</v>
      </c>
      <c r="M279" s="14">
        <v>11</v>
      </c>
    </row>
    <row r="280" spans="1:13" x14ac:dyDescent="0.2">
      <c r="A280" s="10" t="s">
        <v>1018</v>
      </c>
      <c r="B280" s="16" t="s">
        <v>1019</v>
      </c>
      <c r="C280" s="16" t="s">
        <v>548</v>
      </c>
      <c r="D280" s="14">
        <v>1261</v>
      </c>
      <c r="E280" s="14">
        <v>729</v>
      </c>
      <c r="F280" s="14">
        <v>532</v>
      </c>
      <c r="G280" s="18">
        <v>42.2</v>
      </c>
      <c r="H280" s="14">
        <v>115</v>
      </c>
      <c r="I280" s="14">
        <v>99</v>
      </c>
      <c r="J280" s="14">
        <v>35</v>
      </c>
      <c r="K280" s="14">
        <v>148</v>
      </c>
      <c r="L280" s="14">
        <v>216</v>
      </c>
      <c r="M280" s="14">
        <v>18</v>
      </c>
    </row>
    <row r="281" spans="1:13" x14ac:dyDescent="0.2">
      <c r="A281" s="10" t="s">
        <v>1020</v>
      </c>
      <c r="B281" s="16" t="s">
        <v>1021</v>
      </c>
      <c r="C281" s="16" t="s">
        <v>548</v>
      </c>
      <c r="D281" s="14">
        <v>1933</v>
      </c>
      <c r="E281" s="14">
        <v>1351</v>
      </c>
      <c r="F281" s="14">
        <v>582</v>
      </c>
      <c r="G281" s="18">
        <v>30.1</v>
      </c>
      <c r="H281" s="14">
        <v>179</v>
      </c>
      <c r="I281" s="14">
        <v>146</v>
      </c>
      <c r="J281" s="14">
        <v>49</v>
      </c>
      <c r="K281" s="14">
        <v>133</v>
      </c>
      <c r="L281" s="14">
        <v>193</v>
      </c>
      <c r="M281" s="14">
        <v>28</v>
      </c>
    </row>
    <row r="282" spans="1:13" x14ac:dyDescent="0.2">
      <c r="A282" s="10" t="s">
        <v>1022</v>
      </c>
      <c r="B282" s="16" t="s">
        <v>1023</v>
      </c>
      <c r="C282" s="16" t="s">
        <v>548</v>
      </c>
      <c r="D282" s="14">
        <v>1047</v>
      </c>
      <c r="E282" s="14">
        <v>850</v>
      </c>
      <c r="F282" s="14">
        <v>197</v>
      </c>
      <c r="G282" s="18">
        <v>18.8</v>
      </c>
      <c r="H282" s="14">
        <v>65</v>
      </c>
      <c r="I282" s="14">
        <v>26</v>
      </c>
      <c r="J282" s="14">
        <v>22</v>
      </c>
      <c r="K282" s="14">
        <v>38</v>
      </c>
      <c r="L282" s="14">
        <v>48</v>
      </c>
      <c r="M282" s="14">
        <v>24</v>
      </c>
    </row>
    <row r="283" spans="1:13" x14ac:dyDescent="0.2">
      <c r="A283" s="10" t="s">
        <v>1024</v>
      </c>
      <c r="B283" s="16" t="s">
        <v>1025</v>
      </c>
      <c r="C283" s="16" t="s">
        <v>548</v>
      </c>
      <c r="D283" s="14">
        <v>913</v>
      </c>
      <c r="E283" s="14">
        <v>736</v>
      </c>
      <c r="F283" s="14">
        <v>177</v>
      </c>
      <c r="G283" s="18">
        <v>19.399999999999999</v>
      </c>
      <c r="H283" s="14">
        <v>57</v>
      </c>
      <c r="I283" s="14">
        <v>39</v>
      </c>
      <c r="J283" s="14">
        <v>8</v>
      </c>
      <c r="K283" s="14">
        <v>22</v>
      </c>
      <c r="L283" s="14">
        <v>79</v>
      </c>
      <c r="M283" s="14">
        <v>11</v>
      </c>
    </row>
    <row r="284" spans="1:13" x14ac:dyDescent="0.2">
      <c r="A284" s="10" t="s">
        <v>1026</v>
      </c>
      <c r="B284" s="16" t="s">
        <v>1027</v>
      </c>
      <c r="C284" s="16" t="s">
        <v>548</v>
      </c>
      <c r="D284" s="14">
        <v>1634</v>
      </c>
      <c r="E284" s="14">
        <v>1385</v>
      </c>
      <c r="F284" s="14">
        <v>249</v>
      </c>
      <c r="G284" s="18">
        <v>15.2</v>
      </c>
      <c r="H284" s="14">
        <v>69</v>
      </c>
      <c r="I284" s="14">
        <v>50</v>
      </c>
      <c r="J284" s="14">
        <v>14</v>
      </c>
      <c r="K284" s="14">
        <v>89</v>
      </c>
      <c r="L284" s="14">
        <v>55</v>
      </c>
      <c r="M284" s="14">
        <v>22</v>
      </c>
    </row>
    <row r="285" spans="1:13" x14ac:dyDescent="0.2">
      <c r="A285" s="10" t="s">
        <v>1028</v>
      </c>
      <c r="B285" s="16" t="s">
        <v>1029</v>
      </c>
      <c r="C285" s="16" t="s">
        <v>548</v>
      </c>
      <c r="D285" s="14">
        <v>1257</v>
      </c>
      <c r="E285" s="14">
        <v>995</v>
      </c>
      <c r="F285" s="14">
        <v>262</v>
      </c>
      <c r="G285" s="18">
        <v>20.8</v>
      </c>
      <c r="H285" s="14">
        <v>87</v>
      </c>
      <c r="I285" s="14">
        <v>65</v>
      </c>
      <c r="J285" s="14">
        <v>22</v>
      </c>
      <c r="K285" s="14">
        <v>60</v>
      </c>
      <c r="L285" s="14">
        <v>81</v>
      </c>
      <c r="M285" s="14">
        <v>12</v>
      </c>
    </row>
    <row r="286" spans="1:13" x14ac:dyDescent="0.2">
      <c r="A286" s="10" t="s">
        <v>1030</v>
      </c>
      <c r="B286" s="16" t="s">
        <v>1031</v>
      </c>
      <c r="C286" s="16" t="s">
        <v>548</v>
      </c>
      <c r="D286" s="14">
        <v>1332</v>
      </c>
      <c r="E286" s="14">
        <v>1155</v>
      </c>
      <c r="F286" s="14">
        <v>177</v>
      </c>
      <c r="G286" s="18">
        <v>13.3</v>
      </c>
      <c r="H286" s="14">
        <v>67</v>
      </c>
      <c r="I286" s="14">
        <v>39</v>
      </c>
      <c r="J286" s="14">
        <v>12</v>
      </c>
      <c r="K286" s="14">
        <v>34</v>
      </c>
      <c r="L286" s="14">
        <v>53</v>
      </c>
      <c r="M286" s="14">
        <v>11</v>
      </c>
    </row>
    <row r="287" spans="1:13" x14ac:dyDescent="0.2">
      <c r="A287" s="10" t="s">
        <v>1032</v>
      </c>
      <c r="B287" s="16" t="s">
        <v>1033</v>
      </c>
      <c r="C287" s="16" t="s">
        <v>548</v>
      </c>
      <c r="D287" s="14">
        <v>1041</v>
      </c>
      <c r="E287" s="14">
        <v>759</v>
      </c>
      <c r="F287" s="14">
        <v>282</v>
      </c>
      <c r="G287" s="18">
        <v>27.1</v>
      </c>
      <c r="H287" s="14">
        <v>82</v>
      </c>
      <c r="I287" s="14">
        <v>39</v>
      </c>
      <c r="J287" s="14">
        <v>23</v>
      </c>
      <c r="K287" s="14">
        <v>49</v>
      </c>
      <c r="L287" s="14">
        <v>102</v>
      </c>
      <c r="M287" s="14">
        <v>26</v>
      </c>
    </row>
    <row r="288" spans="1:13" s="23" customFormat="1" ht="15.75" x14ac:dyDescent="0.25">
      <c r="A288" s="21" t="s">
        <v>1034</v>
      </c>
      <c r="B288" s="93" t="s">
        <v>1035</v>
      </c>
      <c r="C288" s="93" t="s">
        <v>545</v>
      </c>
      <c r="D288" s="22">
        <v>6976</v>
      </c>
      <c r="E288" s="22">
        <v>4575</v>
      </c>
      <c r="F288" s="22">
        <v>2401</v>
      </c>
      <c r="G288" s="92">
        <v>34.4</v>
      </c>
      <c r="H288" s="22">
        <v>666</v>
      </c>
      <c r="I288" s="22">
        <v>341</v>
      </c>
      <c r="J288" s="22">
        <v>183</v>
      </c>
      <c r="K288" s="22">
        <v>404</v>
      </c>
      <c r="L288" s="22">
        <v>878</v>
      </c>
      <c r="M288" s="22">
        <v>270</v>
      </c>
    </row>
    <row r="289" spans="1:13" x14ac:dyDescent="0.2">
      <c r="A289" s="10" t="s">
        <v>1036</v>
      </c>
      <c r="B289" s="16" t="s">
        <v>1037</v>
      </c>
      <c r="C289" s="16" t="s">
        <v>548</v>
      </c>
      <c r="D289" s="14">
        <v>1669</v>
      </c>
      <c r="E289" s="14">
        <v>1064</v>
      </c>
      <c r="F289" s="14">
        <v>605</v>
      </c>
      <c r="G289" s="18">
        <v>36.200000000000003</v>
      </c>
      <c r="H289" s="14">
        <v>185</v>
      </c>
      <c r="I289" s="14">
        <v>127</v>
      </c>
      <c r="J289" s="14">
        <v>48</v>
      </c>
      <c r="K289" s="14">
        <v>125</v>
      </c>
      <c r="L289" s="14">
        <v>190</v>
      </c>
      <c r="M289" s="14">
        <v>57</v>
      </c>
    </row>
    <row r="290" spans="1:13" x14ac:dyDescent="0.2">
      <c r="A290" s="10" t="s">
        <v>1038</v>
      </c>
      <c r="B290" s="16" t="s">
        <v>1039</v>
      </c>
      <c r="C290" s="16" t="s">
        <v>548</v>
      </c>
      <c r="D290" s="14">
        <v>1404</v>
      </c>
      <c r="E290" s="14">
        <v>571</v>
      </c>
      <c r="F290" s="14">
        <v>833</v>
      </c>
      <c r="G290" s="18">
        <v>59.3</v>
      </c>
      <c r="H290" s="14">
        <v>151</v>
      </c>
      <c r="I290" s="14">
        <v>63</v>
      </c>
      <c r="J290" s="14">
        <v>70</v>
      </c>
      <c r="K290" s="14">
        <v>120</v>
      </c>
      <c r="L290" s="14">
        <v>407</v>
      </c>
      <c r="M290" s="14">
        <v>85</v>
      </c>
    </row>
    <row r="291" spans="1:13" x14ac:dyDescent="0.2">
      <c r="A291" s="10" t="s">
        <v>1040</v>
      </c>
      <c r="B291" s="16" t="s">
        <v>1041</v>
      </c>
      <c r="C291" s="16" t="s">
        <v>548</v>
      </c>
      <c r="D291" s="14">
        <v>1419</v>
      </c>
      <c r="E291" s="14">
        <v>1093</v>
      </c>
      <c r="F291" s="14">
        <v>326</v>
      </c>
      <c r="G291" s="18">
        <v>23</v>
      </c>
      <c r="H291" s="14">
        <v>113</v>
      </c>
      <c r="I291" s="14">
        <v>61</v>
      </c>
      <c r="J291" s="14">
        <v>24</v>
      </c>
      <c r="K291" s="14">
        <v>49</v>
      </c>
      <c r="L291" s="14">
        <v>93</v>
      </c>
      <c r="M291" s="14">
        <v>47</v>
      </c>
    </row>
    <row r="292" spans="1:13" x14ac:dyDescent="0.2">
      <c r="A292" s="10" t="s">
        <v>1042</v>
      </c>
      <c r="B292" s="16" t="s">
        <v>1043</v>
      </c>
      <c r="C292" s="16" t="s">
        <v>548</v>
      </c>
      <c r="D292" s="14">
        <v>1496</v>
      </c>
      <c r="E292" s="14">
        <v>1067</v>
      </c>
      <c r="F292" s="14">
        <v>429</v>
      </c>
      <c r="G292" s="18">
        <v>28.7</v>
      </c>
      <c r="H292" s="14">
        <v>149</v>
      </c>
      <c r="I292" s="14">
        <v>64</v>
      </c>
      <c r="J292" s="14">
        <v>27</v>
      </c>
      <c r="K292" s="14">
        <v>75</v>
      </c>
      <c r="L292" s="14">
        <v>123</v>
      </c>
      <c r="M292" s="14">
        <v>55</v>
      </c>
    </row>
    <row r="293" spans="1:13" x14ac:dyDescent="0.2">
      <c r="A293" s="10" t="s">
        <v>1044</v>
      </c>
      <c r="B293" s="16" t="s">
        <v>1045</v>
      </c>
      <c r="C293" s="16" t="s">
        <v>548</v>
      </c>
      <c r="D293" s="14">
        <v>988</v>
      </c>
      <c r="E293" s="14">
        <v>780</v>
      </c>
      <c r="F293" s="14">
        <v>208</v>
      </c>
      <c r="G293" s="18">
        <v>21.1</v>
      </c>
      <c r="H293" s="14">
        <v>68</v>
      </c>
      <c r="I293" s="14">
        <v>26</v>
      </c>
      <c r="J293" s="14">
        <v>14</v>
      </c>
      <c r="K293" s="14">
        <v>35</v>
      </c>
      <c r="L293" s="14">
        <v>65</v>
      </c>
      <c r="M293" s="14">
        <v>26</v>
      </c>
    </row>
    <row r="294" spans="1:13" s="23" customFormat="1" ht="15.75" x14ac:dyDescent="0.25">
      <c r="A294" s="21" t="s">
        <v>1046</v>
      </c>
      <c r="B294" s="93" t="s">
        <v>1047</v>
      </c>
      <c r="C294" s="93" t="s">
        <v>545</v>
      </c>
      <c r="D294" s="22">
        <v>11362</v>
      </c>
      <c r="E294" s="22">
        <v>7702</v>
      </c>
      <c r="F294" s="22">
        <v>3658</v>
      </c>
      <c r="G294" s="92">
        <v>32.200000000000003</v>
      </c>
      <c r="H294" s="22">
        <v>958</v>
      </c>
      <c r="I294" s="22">
        <v>487</v>
      </c>
      <c r="J294" s="22">
        <v>243</v>
      </c>
      <c r="K294" s="22">
        <v>638</v>
      </c>
      <c r="L294" s="22">
        <v>1443</v>
      </c>
      <c r="M294" s="22">
        <v>376</v>
      </c>
    </row>
    <row r="295" spans="1:13" x14ac:dyDescent="0.2">
      <c r="A295" s="10" t="s">
        <v>1048</v>
      </c>
      <c r="B295" s="16" t="s">
        <v>1049</v>
      </c>
      <c r="C295" s="16" t="s">
        <v>548</v>
      </c>
      <c r="D295" s="14">
        <v>1273</v>
      </c>
      <c r="E295" s="14">
        <v>846</v>
      </c>
      <c r="F295" s="14">
        <v>427</v>
      </c>
      <c r="G295" s="18">
        <v>33.5</v>
      </c>
      <c r="H295" s="14">
        <v>133</v>
      </c>
      <c r="I295" s="14">
        <v>56</v>
      </c>
      <c r="J295" s="14">
        <v>45</v>
      </c>
      <c r="K295" s="14">
        <v>79</v>
      </c>
      <c r="L295" s="14">
        <v>110</v>
      </c>
      <c r="M295" s="14">
        <v>60</v>
      </c>
    </row>
    <row r="296" spans="1:13" x14ac:dyDescent="0.2">
      <c r="A296" s="10" t="s">
        <v>1050</v>
      </c>
      <c r="B296" s="16" t="s">
        <v>1051</v>
      </c>
      <c r="C296" s="16" t="s">
        <v>548</v>
      </c>
      <c r="D296" s="14">
        <v>700</v>
      </c>
      <c r="E296" s="14">
        <v>445</v>
      </c>
      <c r="F296" s="14">
        <v>254</v>
      </c>
      <c r="G296" s="18">
        <v>36.299999999999997</v>
      </c>
      <c r="H296" s="14">
        <v>73</v>
      </c>
      <c r="I296" s="14">
        <v>30</v>
      </c>
      <c r="J296" s="14">
        <v>18</v>
      </c>
      <c r="K296" s="14">
        <v>32</v>
      </c>
      <c r="L296" s="14">
        <v>102</v>
      </c>
      <c r="M296" s="14">
        <v>29</v>
      </c>
    </row>
    <row r="297" spans="1:13" x14ac:dyDescent="0.2">
      <c r="A297" s="10" t="s">
        <v>1052</v>
      </c>
      <c r="B297" s="16" t="s">
        <v>1053</v>
      </c>
      <c r="C297" s="16" t="s">
        <v>548</v>
      </c>
      <c r="D297" s="14">
        <v>1237</v>
      </c>
      <c r="E297" s="14">
        <v>849</v>
      </c>
      <c r="F297" s="14">
        <v>388</v>
      </c>
      <c r="G297" s="18">
        <v>31.4</v>
      </c>
      <c r="H297" s="14">
        <v>120</v>
      </c>
      <c r="I297" s="14">
        <v>59</v>
      </c>
      <c r="J297" s="14">
        <v>23</v>
      </c>
      <c r="K297" s="14">
        <v>60</v>
      </c>
      <c r="L297" s="14">
        <v>143</v>
      </c>
      <c r="M297" s="14">
        <v>42</v>
      </c>
    </row>
    <row r="298" spans="1:13" x14ac:dyDescent="0.2">
      <c r="A298" s="10" t="s">
        <v>1054</v>
      </c>
      <c r="B298" s="16" t="s">
        <v>1055</v>
      </c>
      <c r="C298" s="16" t="s">
        <v>548</v>
      </c>
      <c r="D298" s="14">
        <v>707</v>
      </c>
      <c r="E298" s="14">
        <v>537</v>
      </c>
      <c r="F298" s="14">
        <v>170</v>
      </c>
      <c r="G298" s="18">
        <v>24</v>
      </c>
      <c r="H298" s="14">
        <v>57</v>
      </c>
      <c r="I298" s="14">
        <v>32</v>
      </c>
      <c r="J298" s="14">
        <v>9</v>
      </c>
      <c r="K298" s="14">
        <v>33</v>
      </c>
      <c r="L298" s="14">
        <v>43</v>
      </c>
      <c r="M298" s="14">
        <v>28</v>
      </c>
    </row>
    <row r="299" spans="1:13" x14ac:dyDescent="0.2">
      <c r="A299" s="10" t="s">
        <v>1056</v>
      </c>
      <c r="B299" s="16" t="s">
        <v>1057</v>
      </c>
      <c r="C299" s="16" t="s">
        <v>548</v>
      </c>
      <c r="D299" s="14">
        <v>1621</v>
      </c>
      <c r="E299" s="14">
        <v>1130</v>
      </c>
      <c r="F299" s="14">
        <v>491</v>
      </c>
      <c r="G299" s="18">
        <v>30.3</v>
      </c>
      <c r="H299" s="14">
        <v>101</v>
      </c>
      <c r="I299" s="14">
        <v>56</v>
      </c>
      <c r="J299" s="14">
        <v>29</v>
      </c>
      <c r="K299" s="14">
        <v>119</v>
      </c>
      <c r="L299" s="14">
        <v>210</v>
      </c>
      <c r="M299" s="14">
        <v>32</v>
      </c>
    </row>
    <row r="300" spans="1:13" x14ac:dyDescent="0.2">
      <c r="A300" s="10" t="s">
        <v>1058</v>
      </c>
      <c r="B300" s="16" t="s">
        <v>1059</v>
      </c>
      <c r="C300" s="16" t="s">
        <v>548</v>
      </c>
      <c r="D300" s="14">
        <v>864</v>
      </c>
      <c r="E300" s="14">
        <v>583</v>
      </c>
      <c r="F300" s="14">
        <v>280</v>
      </c>
      <c r="G300" s="18">
        <v>32.4</v>
      </c>
      <c r="H300" s="14">
        <v>82</v>
      </c>
      <c r="I300" s="14">
        <v>50</v>
      </c>
      <c r="J300" s="14">
        <v>24</v>
      </c>
      <c r="K300" s="14">
        <v>34</v>
      </c>
      <c r="L300" s="14">
        <v>97</v>
      </c>
      <c r="M300" s="14">
        <v>43</v>
      </c>
    </row>
    <row r="301" spans="1:13" x14ac:dyDescent="0.2">
      <c r="A301" s="10" t="s">
        <v>1060</v>
      </c>
      <c r="B301" s="16" t="s">
        <v>1061</v>
      </c>
      <c r="C301" s="16" t="s">
        <v>548</v>
      </c>
      <c r="D301" s="14">
        <v>1090</v>
      </c>
      <c r="E301" s="14">
        <v>604</v>
      </c>
      <c r="F301" s="14">
        <v>486</v>
      </c>
      <c r="G301" s="18">
        <v>44.6</v>
      </c>
      <c r="H301" s="14">
        <v>87</v>
      </c>
      <c r="I301" s="14">
        <v>62</v>
      </c>
      <c r="J301" s="14">
        <v>33</v>
      </c>
      <c r="K301" s="14">
        <v>54</v>
      </c>
      <c r="L301" s="14">
        <v>283</v>
      </c>
      <c r="M301" s="14">
        <v>29</v>
      </c>
    </row>
    <row r="302" spans="1:13" x14ac:dyDescent="0.2">
      <c r="A302" s="10" t="s">
        <v>1062</v>
      </c>
      <c r="B302" s="16" t="s">
        <v>1063</v>
      </c>
      <c r="C302" s="16" t="s">
        <v>548</v>
      </c>
      <c r="D302" s="14">
        <v>882</v>
      </c>
      <c r="E302" s="14">
        <v>597</v>
      </c>
      <c r="F302" s="14">
        <v>285</v>
      </c>
      <c r="G302" s="18">
        <v>32.299999999999997</v>
      </c>
      <c r="H302" s="14">
        <v>68</v>
      </c>
      <c r="I302" s="14">
        <v>30</v>
      </c>
      <c r="J302" s="14">
        <v>13</v>
      </c>
      <c r="K302" s="14">
        <v>70</v>
      </c>
      <c r="L302" s="14">
        <v>120</v>
      </c>
      <c r="M302" s="14">
        <v>14</v>
      </c>
    </row>
    <row r="303" spans="1:13" x14ac:dyDescent="0.2">
      <c r="A303" s="10" t="s">
        <v>1064</v>
      </c>
      <c r="B303" s="16" t="s">
        <v>1065</v>
      </c>
      <c r="C303" s="16" t="s">
        <v>548</v>
      </c>
      <c r="D303" s="14">
        <v>801</v>
      </c>
      <c r="E303" s="14">
        <v>654</v>
      </c>
      <c r="F303" s="14">
        <v>147</v>
      </c>
      <c r="G303" s="18">
        <v>18.399999999999999</v>
      </c>
      <c r="H303" s="14">
        <v>52</v>
      </c>
      <c r="I303" s="14">
        <v>30</v>
      </c>
      <c r="J303" s="14">
        <v>6</v>
      </c>
      <c r="K303" s="14">
        <v>30</v>
      </c>
      <c r="L303" s="14">
        <v>42</v>
      </c>
      <c r="M303" s="14">
        <v>17</v>
      </c>
    </row>
    <row r="304" spans="1:13" x14ac:dyDescent="0.2">
      <c r="A304" s="10" t="s">
        <v>1066</v>
      </c>
      <c r="B304" s="16" t="s">
        <v>1067</v>
      </c>
      <c r="C304" s="16" t="s">
        <v>548</v>
      </c>
      <c r="D304" s="14">
        <v>1120</v>
      </c>
      <c r="E304" s="14">
        <v>875</v>
      </c>
      <c r="F304" s="14">
        <v>245</v>
      </c>
      <c r="G304" s="18">
        <v>21.9</v>
      </c>
      <c r="H304" s="14">
        <v>70</v>
      </c>
      <c r="I304" s="14">
        <v>26</v>
      </c>
      <c r="J304" s="14">
        <v>20</v>
      </c>
      <c r="K304" s="14">
        <v>40</v>
      </c>
      <c r="L304" s="14">
        <v>76</v>
      </c>
      <c r="M304" s="14">
        <v>39</v>
      </c>
    </row>
    <row r="305" spans="1:13" x14ac:dyDescent="0.2">
      <c r="A305" s="10" t="s">
        <v>1068</v>
      </c>
      <c r="B305" s="16" t="s">
        <v>1069</v>
      </c>
      <c r="C305" s="16" t="s">
        <v>548</v>
      </c>
      <c r="D305" s="14">
        <v>1067</v>
      </c>
      <c r="E305" s="14">
        <v>582</v>
      </c>
      <c r="F305" s="14">
        <v>485</v>
      </c>
      <c r="G305" s="18">
        <v>45.5</v>
      </c>
      <c r="H305" s="14">
        <v>115</v>
      </c>
      <c r="I305" s="14">
        <v>56</v>
      </c>
      <c r="J305" s="14">
        <v>23</v>
      </c>
      <c r="K305" s="14">
        <v>87</v>
      </c>
      <c r="L305" s="14">
        <v>217</v>
      </c>
      <c r="M305" s="14">
        <v>43</v>
      </c>
    </row>
    <row r="306" spans="1:13" s="23" customFormat="1" ht="15.75" x14ac:dyDescent="0.25">
      <c r="A306" s="21" t="s">
        <v>1070</v>
      </c>
      <c r="B306" s="93" t="s">
        <v>1071</v>
      </c>
      <c r="C306" s="93" t="s">
        <v>545</v>
      </c>
      <c r="D306" s="22">
        <v>7699</v>
      </c>
      <c r="E306" s="22">
        <v>5771</v>
      </c>
      <c r="F306" s="22">
        <v>1927</v>
      </c>
      <c r="G306" s="92">
        <v>25</v>
      </c>
      <c r="H306" s="22">
        <v>537</v>
      </c>
      <c r="I306" s="22">
        <v>333</v>
      </c>
      <c r="J306" s="22">
        <v>114</v>
      </c>
      <c r="K306" s="22">
        <v>384</v>
      </c>
      <c r="L306" s="22">
        <v>734</v>
      </c>
      <c r="M306" s="22">
        <v>158</v>
      </c>
    </row>
    <row r="307" spans="1:13" x14ac:dyDescent="0.2">
      <c r="A307" s="10" t="s">
        <v>1072</v>
      </c>
      <c r="B307" s="16" t="s">
        <v>1073</v>
      </c>
      <c r="C307" s="16" t="s">
        <v>548</v>
      </c>
      <c r="D307" s="14">
        <v>481</v>
      </c>
      <c r="E307" s="14">
        <v>398</v>
      </c>
      <c r="F307" s="14">
        <v>83</v>
      </c>
      <c r="G307" s="18">
        <v>17.3</v>
      </c>
      <c r="H307" s="14">
        <v>29</v>
      </c>
      <c r="I307" s="14">
        <v>11</v>
      </c>
      <c r="J307" s="14">
        <v>3</v>
      </c>
      <c r="K307" s="14">
        <v>10</v>
      </c>
      <c r="L307" s="14">
        <v>30</v>
      </c>
      <c r="M307" s="14">
        <v>11</v>
      </c>
    </row>
    <row r="308" spans="1:13" x14ac:dyDescent="0.2">
      <c r="A308" s="10" t="s">
        <v>1074</v>
      </c>
      <c r="B308" s="16" t="s">
        <v>1075</v>
      </c>
      <c r="C308" s="16" t="s">
        <v>548</v>
      </c>
      <c r="D308" s="14">
        <v>1243</v>
      </c>
      <c r="E308" s="14">
        <v>979</v>
      </c>
      <c r="F308" s="14">
        <v>264</v>
      </c>
      <c r="G308" s="18">
        <v>21.2</v>
      </c>
      <c r="H308" s="14">
        <v>110</v>
      </c>
      <c r="I308" s="14">
        <v>86</v>
      </c>
      <c r="J308" s="14">
        <v>25</v>
      </c>
      <c r="K308" s="14">
        <v>48</v>
      </c>
      <c r="L308" s="14">
        <v>60</v>
      </c>
      <c r="M308" s="14">
        <v>21</v>
      </c>
    </row>
    <row r="309" spans="1:13" x14ac:dyDescent="0.2">
      <c r="A309" s="10" t="s">
        <v>1076</v>
      </c>
      <c r="B309" s="16" t="s">
        <v>1077</v>
      </c>
      <c r="C309" s="16" t="s">
        <v>548</v>
      </c>
      <c r="D309" s="14">
        <v>975</v>
      </c>
      <c r="E309" s="14">
        <v>784</v>
      </c>
      <c r="F309" s="14">
        <v>191</v>
      </c>
      <c r="G309" s="18">
        <v>19.600000000000001</v>
      </c>
      <c r="H309" s="14">
        <v>54</v>
      </c>
      <c r="I309" s="14">
        <v>37</v>
      </c>
      <c r="J309" s="14">
        <v>8</v>
      </c>
      <c r="K309" s="14">
        <v>35</v>
      </c>
      <c r="L309" s="14">
        <v>68</v>
      </c>
      <c r="M309" s="14">
        <v>26</v>
      </c>
    </row>
    <row r="310" spans="1:13" x14ac:dyDescent="0.2">
      <c r="A310" s="10" t="s">
        <v>1078</v>
      </c>
      <c r="B310" s="16" t="s">
        <v>1079</v>
      </c>
      <c r="C310" s="16" t="s">
        <v>548</v>
      </c>
      <c r="D310" s="14">
        <v>1376</v>
      </c>
      <c r="E310" s="14">
        <v>708</v>
      </c>
      <c r="F310" s="14">
        <v>668</v>
      </c>
      <c r="G310" s="18">
        <v>48.5</v>
      </c>
      <c r="H310" s="14">
        <v>141</v>
      </c>
      <c r="I310" s="14">
        <v>96</v>
      </c>
      <c r="J310" s="14">
        <v>35</v>
      </c>
      <c r="K310" s="14">
        <v>158</v>
      </c>
      <c r="L310" s="14">
        <v>307</v>
      </c>
      <c r="M310" s="14">
        <v>27</v>
      </c>
    </row>
    <row r="311" spans="1:13" x14ac:dyDescent="0.2">
      <c r="A311" s="10" t="s">
        <v>1080</v>
      </c>
      <c r="B311" s="16" t="s">
        <v>1081</v>
      </c>
      <c r="C311" s="16" t="s">
        <v>548</v>
      </c>
      <c r="D311" s="14">
        <v>1191</v>
      </c>
      <c r="E311" s="14">
        <v>986</v>
      </c>
      <c r="F311" s="14">
        <v>205</v>
      </c>
      <c r="G311" s="18">
        <v>17.2</v>
      </c>
      <c r="H311" s="14">
        <v>63</v>
      </c>
      <c r="I311" s="14">
        <v>30</v>
      </c>
      <c r="J311" s="14">
        <v>13</v>
      </c>
      <c r="K311" s="14">
        <v>42</v>
      </c>
      <c r="L311" s="14">
        <v>63</v>
      </c>
      <c r="M311" s="14">
        <v>24</v>
      </c>
    </row>
    <row r="312" spans="1:13" x14ac:dyDescent="0.2">
      <c r="A312" s="10" t="s">
        <v>1082</v>
      </c>
      <c r="B312" s="16" t="s">
        <v>1083</v>
      </c>
      <c r="C312" s="16" t="s">
        <v>548</v>
      </c>
      <c r="D312" s="14">
        <v>1564</v>
      </c>
      <c r="E312" s="14">
        <v>1222</v>
      </c>
      <c r="F312" s="14">
        <v>341</v>
      </c>
      <c r="G312" s="18">
        <v>21.8</v>
      </c>
      <c r="H312" s="14">
        <v>95</v>
      </c>
      <c r="I312" s="14">
        <v>49</v>
      </c>
      <c r="J312" s="14">
        <v>15</v>
      </c>
      <c r="K312" s="14">
        <v>62</v>
      </c>
      <c r="L312" s="14">
        <v>131</v>
      </c>
      <c r="M312" s="14">
        <v>38</v>
      </c>
    </row>
    <row r="313" spans="1:13" x14ac:dyDescent="0.2">
      <c r="A313" s="10" t="s">
        <v>1084</v>
      </c>
      <c r="B313" s="16" t="s">
        <v>1085</v>
      </c>
      <c r="C313" s="16" t="s">
        <v>548</v>
      </c>
      <c r="D313" s="14">
        <v>869</v>
      </c>
      <c r="E313" s="14">
        <v>694</v>
      </c>
      <c r="F313" s="14">
        <v>175</v>
      </c>
      <c r="G313" s="18">
        <v>20.100000000000001</v>
      </c>
      <c r="H313" s="14">
        <v>45</v>
      </c>
      <c r="I313" s="14">
        <v>24</v>
      </c>
      <c r="J313" s="14">
        <v>15</v>
      </c>
      <c r="K313" s="14">
        <v>29</v>
      </c>
      <c r="L313" s="14">
        <v>75</v>
      </c>
      <c r="M313" s="14">
        <v>11</v>
      </c>
    </row>
    <row r="314" spans="1:13" s="23" customFormat="1" ht="15.75" x14ac:dyDescent="0.25">
      <c r="A314" s="21" t="s">
        <v>1086</v>
      </c>
      <c r="B314" s="93" t="s">
        <v>1087</v>
      </c>
      <c r="C314" s="93" t="s">
        <v>473</v>
      </c>
      <c r="D314" s="22">
        <v>46978</v>
      </c>
      <c r="E314" s="22">
        <v>36465</v>
      </c>
      <c r="F314" s="22">
        <v>10509</v>
      </c>
      <c r="G314" s="92">
        <v>22.4</v>
      </c>
      <c r="H314" s="22">
        <v>2874</v>
      </c>
      <c r="I314" s="22">
        <v>1669</v>
      </c>
      <c r="J314" s="22">
        <v>515</v>
      </c>
      <c r="K314" s="22">
        <v>2360</v>
      </c>
      <c r="L314" s="22">
        <v>3808</v>
      </c>
      <c r="M314" s="22">
        <v>952</v>
      </c>
    </row>
    <row r="315" spans="1:13" x14ac:dyDescent="0.2">
      <c r="A315" s="10" t="s">
        <v>1088</v>
      </c>
      <c r="B315" s="16" t="s">
        <v>1089</v>
      </c>
      <c r="C315" s="16" t="s">
        <v>476</v>
      </c>
      <c r="D315" s="14">
        <v>1438</v>
      </c>
      <c r="E315" s="14">
        <v>1137</v>
      </c>
      <c r="F315" s="14">
        <v>301</v>
      </c>
      <c r="G315" s="18">
        <v>20.9</v>
      </c>
      <c r="H315" s="14">
        <v>91</v>
      </c>
      <c r="I315" s="14">
        <v>39</v>
      </c>
      <c r="J315" s="14">
        <v>13</v>
      </c>
      <c r="K315" s="14">
        <v>46</v>
      </c>
      <c r="L315" s="14">
        <v>114</v>
      </c>
      <c r="M315" s="14">
        <v>37</v>
      </c>
    </row>
    <row r="316" spans="1:13" x14ac:dyDescent="0.2">
      <c r="A316" s="10" t="s">
        <v>1090</v>
      </c>
      <c r="B316" s="16" t="s">
        <v>1091</v>
      </c>
      <c r="C316" s="16" t="s">
        <v>476</v>
      </c>
      <c r="D316" s="14">
        <v>3148</v>
      </c>
      <c r="E316" s="14">
        <v>2115</v>
      </c>
      <c r="F316" s="14">
        <v>1033</v>
      </c>
      <c r="G316" s="18">
        <v>32.799999999999997</v>
      </c>
      <c r="H316" s="14">
        <v>311</v>
      </c>
      <c r="I316" s="14">
        <v>208</v>
      </c>
      <c r="J316" s="14">
        <v>66</v>
      </c>
      <c r="K316" s="14">
        <v>235</v>
      </c>
      <c r="L316" s="14">
        <v>330</v>
      </c>
      <c r="M316" s="14">
        <v>91</v>
      </c>
    </row>
    <row r="317" spans="1:13" x14ac:dyDescent="0.2">
      <c r="A317" s="10" t="s">
        <v>1092</v>
      </c>
      <c r="B317" s="16" t="s">
        <v>1093</v>
      </c>
      <c r="C317" s="16" t="s">
        <v>476</v>
      </c>
      <c r="D317" s="14">
        <v>4934</v>
      </c>
      <c r="E317" s="14">
        <v>3236</v>
      </c>
      <c r="F317" s="14">
        <v>1697</v>
      </c>
      <c r="G317" s="18">
        <v>34.4</v>
      </c>
      <c r="H317" s="14">
        <v>400</v>
      </c>
      <c r="I317" s="14">
        <v>181</v>
      </c>
      <c r="J317" s="14">
        <v>69</v>
      </c>
      <c r="K317" s="14">
        <v>455</v>
      </c>
      <c r="L317" s="14">
        <v>627</v>
      </c>
      <c r="M317" s="14">
        <v>146</v>
      </c>
    </row>
    <row r="318" spans="1:13" x14ac:dyDescent="0.2">
      <c r="A318" s="10" t="s">
        <v>1094</v>
      </c>
      <c r="B318" s="16" t="s">
        <v>1095</v>
      </c>
      <c r="C318" s="16" t="s">
        <v>476</v>
      </c>
      <c r="D318" s="14">
        <v>4185</v>
      </c>
      <c r="E318" s="14">
        <v>3751</v>
      </c>
      <c r="F318" s="14">
        <v>434</v>
      </c>
      <c r="G318" s="18">
        <v>10.4</v>
      </c>
      <c r="H318" s="14">
        <v>128</v>
      </c>
      <c r="I318" s="14">
        <v>70</v>
      </c>
      <c r="J318" s="14">
        <v>22</v>
      </c>
      <c r="K318" s="14">
        <v>112</v>
      </c>
      <c r="L318" s="14">
        <v>128</v>
      </c>
      <c r="M318" s="14">
        <v>44</v>
      </c>
    </row>
    <row r="319" spans="1:13" x14ac:dyDescent="0.2">
      <c r="A319" s="10" t="s">
        <v>1096</v>
      </c>
      <c r="B319" s="16" t="s">
        <v>1097</v>
      </c>
      <c r="C319" s="16" t="s">
        <v>476</v>
      </c>
      <c r="D319" s="14">
        <v>2510</v>
      </c>
      <c r="E319" s="14">
        <v>2208</v>
      </c>
      <c r="F319" s="14">
        <v>302</v>
      </c>
      <c r="G319" s="18">
        <v>12</v>
      </c>
      <c r="H319" s="14">
        <v>99</v>
      </c>
      <c r="I319" s="14">
        <v>40</v>
      </c>
      <c r="J319" s="14">
        <v>12</v>
      </c>
      <c r="K319" s="14">
        <v>39</v>
      </c>
      <c r="L319" s="14">
        <v>113</v>
      </c>
      <c r="M319" s="14">
        <v>39</v>
      </c>
    </row>
    <row r="320" spans="1:13" x14ac:dyDescent="0.2">
      <c r="A320" s="10" t="s">
        <v>1098</v>
      </c>
      <c r="B320" s="16" t="s">
        <v>1099</v>
      </c>
      <c r="C320" s="16" t="s">
        <v>476</v>
      </c>
      <c r="D320" s="14">
        <v>1743</v>
      </c>
      <c r="E320" s="14">
        <v>1389</v>
      </c>
      <c r="F320" s="14">
        <v>354</v>
      </c>
      <c r="G320" s="18">
        <v>20.3</v>
      </c>
      <c r="H320" s="14">
        <v>118</v>
      </c>
      <c r="I320" s="14">
        <v>80</v>
      </c>
      <c r="J320" s="14">
        <v>22</v>
      </c>
      <c r="K320" s="14">
        <v>63</v>
      </c>
      <c r="L320" s="14">
        <v>122</v>
      </c>
      <c r="M320" s="14">
        <v>29</v>
      </c>
    </row>
    <row r="321" spans="1:13" x14ac:dyDescent="0.2">
      <c r="A321" s="10" t="s">
        <v>1100</v>
      </c>
      <c r="B321" s="16" t="s">
        <v>1101</v>
      </c>
      <c r="C321" s="16" t="s">
        <v>476</v>
      </c>
      <c r="D321" s="14">
        <v>2257</v>
      </c>
      <c r="E321" s="14">
        <v>1702</v>
      </c>
      <c r="F321" s="14">
        <v>555</v>
      </c>
      <c r="G321" s="18">
        <v>24.6</v>
      </c>
      <c r="H321" s="14">
        <v>103</v>
      </c>
      <c r="I321" s="14">
        <v>58</v>
      </c>
      <c r="J321" s="14">
        <v>20</v>
      </c>
      <c r="K321" s="14">
        <v>203</v>
      </c>
      <c r="L321" s="14">
        <v>192</v>
      </c>
      <c r="M321" s="14">
        <v>37</v>
      </c>
    </row>
    <row r="322" spans="1:13" x14ac:dyDescent="0.2">
      <c r="A322" s="10" t="s">
        <v>1102</v>
      </c>
      <c r="B322" s="16" t="s">
        <v>1103</v>
      </c>
      <c r="C322" s="16" t="s">
        <v>476</v>
      </c>
      <c r="D322" s="14">
        <v>2864</v>
      </c>
      <c r="E322" s="14">
        <v>2125</v>
      </c>
      <c r="F322" s="14">
        <v>739</v>
      </c>
      <c r="G322" s="18">
        <v>25.8</v>
      </c>
      <c r="H322" s="14">
        <v>220</v>
      </c>
      <c r="I322" s="14">
        <v>128</v>
      </c>
      <c r="J322" s="14">
        <v>46</v>
      </c>
      <c r="K322" s="14">
        <v>158</v>
      </c>
      <c r="L322" s="14">
        <v>262</v>
      </c>
      <c r="M322" s="14">
        <v>53</v>
      </c>
    </row>
    <row r="323" spans="1:13" x14ac:dyDescent="0.2">
      <c r="A323" s="10" t="s">
        <v>1104</v>
      </c>
      <c r="B323" s="16" t="s">
        <v>1105</v>
      </c>
      <c r="C323" s="16" t="s">
        <v>476</v>
      </c>
      <c r="D323" s="14">
        <v>2416</v>
      </c>
      <c r="E323" s="14">
        <v>1358</v>
      </c>
      <c r="F323" s="14">
        <v>1058</v>
      </c>
      <c r="G323" s="18">
        <v>43.8</v>
      </c>
      <c r="H323" s="14">
        <v>160</v>
      </c>
      <c r="I323" s="14">
        <v>107</v>
      </c>
      <c r="J323" s="14">
        <v>48</v>
      </c>
      <c r="K323" s="14">
        <v>213</v>
      </c>
      <c r="L323" s="14">
        <v>546</v>
      </c>
      <c r="M323" s="14">
        <v>91</v>
      </c>
    </row>
    <row r="324" spans="1:13" x14ac:dyDescent="0.2">
      <c r="A324" s="10" t="s">
        <v>1106</v>
      </c>
      <c r="B324" s="16" t="s">
        <v>1107</v>
      </c>
      <c r="C324" s="16" t="s">
        <v>476</v>
      </c>
      <c r="D324" s="14">
        <v>949</v>
      </c>
      <c r="E324" s="14">
        <v>783</v>
      </c>
      <c r="F324" s="14">
        <v>166</v>
      </c>
      <c r="G324" s="18">
        <v>17.5</v>
      </c>
      <c r="H324" s="14">
        <v>44</v>
      </c>
      <c r="I324" s="14">
        <v>30</v>
      </c>
      <c r="J324" s="14">
        <v>7</v>
      </c>
      <c r="K324" s="14">
        <v>36</v>
      </c>
      <c r="L324" s="14">
        <v>71</v>
      </c>
      <c r="M324" s="14">
        <v>8</v>
      </c>
    </row>
    <row r="325" spans="1:13" x14ac:dyDescent="0.2">
      <c r="A325" s="10" t="s">
        <v>1108</v>
      </c>
      <c r="B325" s="16" t="s">
        <v>1109</v>
      </c>
      <c r="C325" s="16" t="s">
        <v>476</v>
      </c>
      <c r="D325" s="14">
        <v>4274</v>
      </c>
      <c r="E325" s="14">
        <v>3405</v>
      </c>
      <c r="F325" s="14">
        <v>869</v>
      </c>
      <c r="G325" s="18">
        <v>20.3</v>
      </c>
      <c r="H325" s="14">
        <v>264</v>
      </c>
      <c r="I325" s="14">
        <v>135</v>
      </c>
      <c r="J325" s="14">
        <v>48</v>
      </c>
      <c r="K325" s="14">
        <v>164</v>
      </c>
      <c r="L325" s="14">
        <v>279</v>
      </c>
      <c r="M325" s="14">
        <v>114</v>
      </c>
    </row>
    <row r="326" spans="1:13" x14ac:dyDescent="0.2">
      <c r="A326" s="10" t="s">
        <v>1110</v>
      </c>
      <c r="B326" s="16" t="s">
        <v>1111</v>
      </c>
      <c r="C326" s="16" t="s">
        <v>476</v>
      </c>
      <c r="D326" s="14">
        <v>4555</v>
      </c>
      <c r="E326" s="14">
        <v>3638</v>
      </c>
      <c r="F326" s="14">
        <v>915</v>
      </c>
      <c r="G326" s="18">
        <v>20.100000000000001</v>
      </c>
      <c r="H326" s="14">
        <v>313</v>
      </c>
      <c r="I326" s="14">
        <v>223</v>
      </c>
      <c r="J326" s="14">
        <v>52</v>
      </c>
      <c r="K326" s="14">
        <v>218</v>
      </c>
      <c r="L326" s="14">
        <v>267</v>
      </c>
      <c r="M326" s="14">
        <v>65</v>
      </c>
    </row>
    <row r="327" spans="1:13" s="23" customFormat="1" ht="15.75" x14ac:dyDescent="0.25">
      <c r="A327" s="21" t="s">
        <v>1112</v>
      </c>
      <c r="B327" s="93" t="s">
        <v>1113</v>
      </c>
      <c r="C327" s="93" t="s">
        <v>545</v>
      </c>
      <c r="D327" s="22">
        <v>5994</v>
      </c>
      <c r="E327" s="22">
        <v>5110</v>
      </c>
      <c r="F327" s="22">
        <v>884</v>
      </c>
      <c r="G327" s="92">
        <v>14.7</v>
      </c>
      <c r="H327" s="22">
        <v>279</v>
      </c>
      <c r="I327" s="22">
        <v>136</v>
      </c>
      <c r="J327" s="22">
        <v>41</v>
      </c>
      <c r="K327" s="22">
        <v>154</v>
      </c>
      <c r="L327" s="22">
        <v>309</v>
      </c>
      <c r="M327" s="22">
        <v>101</v>
      </c>
    </row>
    <row r="328" spans="1:13" x14ac:dyDescent="0.2">
      <c r="A328" s="10" t="s">
        <v>1114</v>
      </c>
      <c r="B328" s="16" t="s">
        <v>1115</v>
      </c>
      <c r="C328" s="16" t="s">
        <v>548</v>
      </c>
      <c r="D328" s="14">
        <v>1100</v>
      </c>
      <c r="E328" s="14">
        <v>939</v>
      </c>
      <c r="F328" s="14">
        <v>161</v>
      </c>
      <c r="G328" s="18">
        <v>14.6</v>
      </c>
      <c r="H328" s="14">
        <v>36</v>
      </c>
      <c r="I328" s="14">
        <v>18</v>
      </c>
      <c r="J328" s="14">
        <v>12</v>
      </c>
      <c r="K328" s="14">
        <v>35</v>
      </c>
      <c r="L328" s="14">
        <v>59</v>
      </c>
      <c r="M328" s="14">
        <v>19</v>
      </c>
    </row>
    <row r="329" spans="1:13" x14ac:dyDescent="0.2">
      <c r="A329" s="10" t="s">
        <v>1116</v>
      </c>
      <c r="B329" s="16" t="s">
        <v>1117</v>
      </c>
      <c r="C329" s="16" t="s">
        <v>548</v>
      </c>
      <c r="D329" s="14">
        <v>1026</v>
      </c>
      <c r="E329" s="14">
        <v>720</v>
      </c>
      <c r="F329" s="14">
        <v>306</v>
      </c>
      <c r="G329" s="18">
        <v>29.8</v>
      </c>
      <c r="H329" s="14">
        <v>92</v>
      </c>
      <c r="I329" s="14">
        <v>44</v>
      </c>
      <c r="J329" s="14">
        <v>12</v>
      </c>
      <c r="K329" s="14">
        <v>42</v>
      </c>
      <c r="L329" s="14">
        <v>142</v>
      </c>
      <c r="M329" s="14">
        <v>18</v>
      </c>
    </row>
    <row r="330" spans="1:13" x14ac:dyDescent="0.2">
      <c r="A330" s="10" t="s">
        <v>1118</v>
      </c>
      <c r="B330" s="16" t="s">
        <v>1119</v>
      </c>
      <c r="C330" s="16" t="s">
        <v>548</v>
      </c>
      <c r="D330" s="14">
        <v>633</v>
      </c>
      <c r="E330" s="14">
        <v>562</v>
      </c>
      <c r="F330" s="14">
        <v>71</v>
      </c>
      <c r="G330" s="18">
        <v>11.2</v>
      </c>
      <c r="H330" s="14">
        <v>33</v>
      </c>
      <c r="I330" s="14">
        <v>23</v>
      </c>
      <c r="J330" s="14">
        <v>2</v>
      </c>
      <c r="K330" s="14">
        <v>11</v>
      </c>
      <c r="L330" s="14">
        <v>21</v>
      </c>
      <c r="M330" s="14">
        <v>4</v>
      </c>
    </row>
    <row r="331" spans="1:13" x14ac:dyDescent="0.2">
      <c r="A331" s="10" t="s">
        <v>1120</v>
      </c>
      <c r="B331" s="16" t="s">
        <v>1121</v>
      </c>
      <c r="C331" s="16" t="s">
        <v>548</v>
      </c>
      <c r="D331" s="14">
        <v>752</v>
      </c>
      <c r="E331" s="14">
        <v>655</v>
      </c>
      <c r="F331" s="14">
        <v>97</v>
      </c>
      <c r="G331" s="18">
        <v>12.9</v>
      </c>
      <c r="H331" s="14">
        <v>22</v>
      </c>
      <c r="I331" s="14">
        <v>10</v>
      </c>
      <c r="J331" s="14">
        <v>5</v>
      </c>
      <c r="K331" s="14">
        <v>24</v>
      </c>
      <c r="L331" s="14">
        <v>32</v>
      </c>
      <c r="M331" s="14">
        <v>14</v>
      </c>
    </row>
    <row r="332" spans="1:13" x14ac:dyDescent="0.2">
      <c r="A332" s="10" t="s">
        <v>1122</v>
      </c>
      <c r="B332" s="16" t="s">
        <v>1123</v>
      </c>
      <c r="C332" s="16" t="s">
        <v>548</v>
      </c>
      <c r="D332" s="14">
        <v>662</v>
      </c>
      <c r="E332" s="14">
        <v>583</v>
      </c>
      <c r="F332" s="14">
        <v>79</v>
      </c>
      <c r="G332" s="18">
        <v>11.9</v>
      </c>
      <c r="H332" s="14">
        <v>30</v>
      </c>
      <c r="I332" s="14">
        <v>9</v>
      </c>
      <c r="J332" s="14">
        <v>1</v>
      </c>
      <c r="K332" s="14">
        <v>10</v>
      </c>
      <c r="L332" s="14">
        <v>16</v>
      </c>
      <c r="M332" s="14">
        <v>22</v>
      </c>
    </row>
    <row r="333" spans="1:13" x14ac:dyDescent="0.2">
      <c r="A333" s="10" t="s">
        <v>1124</v>
      </c>
      <c r="B333" s="16" t="s">
        <v>1125</v>
      </c>
      <c r="C333" s="16" t="s">
        <v>548</v>
      </c>
      <c r="D333" s="14">
        <v>935</v>
      </c>
      <c r="E333" s="14">
        <v>836</v>
      </c>
      <c r="F333" s="14">
        <v>99</v>
      </c>
      <c r="G333" s="18">
        <v>10.6</v>
      </c>
      <c r="H333" s="14">
        <v>38</v>
      </c>
      <c r="I333" s="14">
        <v>17</v>
      </c>
      <c r="J333" s="14">
        <v>5</v>
      </c>
      <c r="K333" s="14">
        <v>20</v>
      </c>
      <c r="L333" s="14">
        <v>24</v>
      </c>
      <c r="M333" s="14">
        <v>12</v>
      </c>
    </row>
    <row r="334" spans="1:13" x14ac:dyDescent="0.2">
      <c r="A334" s="10" t="s">
        <v>1126</v>
      </c>
      <c r="B334" s="16" t="s">
        <v>1127</v>
      </c>
      <c r="C334" s="16" t="s">
        <v>548</v>
      </c>
      <c r="D334" s="14">
        <v>507</v>
      </c>
      <c r="E334" s="14">
        <v>471</v>
      </c>
      <c r="F334" s="14">
        <v>36</v>
      </c>
      <c r="G334" s="18">
        <v>7.1</v>
      </c>
      <c r="H334" s="14">
        <v>14</v>
      </c>
      <c r="I334" s="14">
        <v>5</v>
      </c>
      <c r="J334" s="14">
        <v>2</v>
      </c>
      <c r="K334" s="14">
        <v>4</v>
      </c>
      <c r="L334" s="14">
        <v>10</v>
      </c>
      <c r="M334" s="14">
        <v>6</v>
      </c>
    </row>
    <row r="335" spans="1:13" x14ac:dyDescent="0.2">
      <c r="A335" s="10" t="s">
        <v>1128</v>
      </c>
      <c r="B335" s="16" t="s">
        <v>1129</v>
      </c>
      <c r="C335" s="16" t="s">
        <v>548</v>
      </c>
      <c r="D335" s="14">
        <v>379</v>
      </c>
      <c r="E335" s="14">
        <v>344</v>
      </c>
      <c r="F335" s="14">
        <v>35</v>
      </c>
      <c r="G335" s="18">
        <v>9.1999999999999993</v>
      </c>
      <c r="H335" s="14">
        <v>14</v>
      </c>
      <c r="I335" s="14">
        <v>10</v>
      </c>
      <c r="J335" s="14">
        <v>2</v>
      </c>
      <c r="K335" s="14">
        <v>8</v>
      </c>
      <c r="L335" s="14">
        <v>5</v>
      </c>
      <c r="M335" s="14">
        <v>6</v>
      </c>
    </row>
    <row r="336" spans="1:13" s="23" customFormat="1" ht="15.75" x14ac:dyDescent="0.25">
      <c r="A336" s="21" t="s">
        <v>1130</v>
      </c>
      <c r="B336" s="93" t="s">
        <v>1131</v>
      </c>
      <c r="C336" s="93" t="s">
        <v>545</v>
      </c>
      <c r="D336" s="22">
        <v>5711</v>
      </c>
      <c r="E336" s="22">
        <v>4508</v>
      </c>
      <c r="F336" s="22">
        <v>1202</v>
      </c>
      <c r="G336" s="92">
        <v>21</v>
      </c>
      <c r="H336" s="22">
        <v>344</v>
      </c>
      <c r="I336" s="22">
        <v>234</v>
      </c>
      <c r="J336" s="22">
        <v>49</v>
      </c>
      <c r="K336" s="22">
        <v>264</v>
      </c>
      <c r="L336" s="22">
        <v>448</v>
      </c>
      <c r="M336" s="22">
        <v>97</v>
      </c>
    </row>
    <row r="337" spans="1:13" x14ac:dyDescent="0.2">
      <c r="A337" s="10" t="s">
        <v>1132</v>
      </c>
      <c r="B337" s="16" t="s">
        <v>1133</v>
      </c>
      <c r="C337" s="16" t="s">
        <v>548</v>
      </c>
      <c r="D337" s="14">
        <v>977</v>
      </c>
      <c r="E337" s="14">
        <v>707</v>
      </c>
      <c r="F337" s="14">
        <v>270</v>
      </c>
      <c r="G337" s="18">
        <v>27.6</v>
      </c>
      <c r="H337" s="14">
        <v>75</v>
      </c>
      <c r="I337" s="14">
        <v>51</v>
      </c>
      <c r="J337" s="14">
        <v>11</v>
      </c>
      <c r="K337" s="14">
        <v>48</v>
      </c>
      <c r="L337" s="14">
        <v>113</v>
      </c>
      <c r="M337" s="14">
        <v>23</v>
      </c>
    </row>
    <row r="338" spans="1:13" x14ac:dyDescent="0.2">
      <c r="A338" s="10" t="s">
        <v>1134</v>
      </c>
      <c r="B338" s="16" t="s">
        <v>1135</v>
      </c>
      <c r="C338" s="16" t="s">
        <v>548</v>
      </c>
      <c r="D338" s="14">
        <v>627</v>
      </c>
      <c r="E338" s="14">
        <v>542</v>
      </c>
      <c r="F338" s="14">
        <v>85</v>
      </c>
      <c r="G338" s="18">
        <v>13.6</v>
      </c>
      <c r="H338" s="14">
        <v>30</v>
      </c>
      <c r="I338" s="14">
        <v>17</v>
      </c>
      <c r="J338" s="14">
        <v>4</v>
      </c>
      <c r="K338" s="14">
        <v>16</v>
      </c>
      <c r="L338" s="14">
        <v>17</v>
      </c>
      <c r="M338" s="14">
        <v>18</v>
      </c>
    </row>
    <row r="339" spans="1:13" x14ac:dyDescent="0.2">
      <c r="A339" s="10" t="s">
        <v>1136</v>
      </c>
      <c r="B339" s="16" t="s">
        <v>1137</v>
      </c>
      <c r="C339" s="16" t="s">
        <v>548</v>
      </c>
      <c r="D339" s="14">
        <v>686</v>
      </c>
      <c r="E339" s="14">
        <v>618</v>
      </c>
      <c r="F339" s="14">
        <v>67</v>
      </c>
      <c r="G339" s="18">
        <v>9.8000000000000007</v>
      </c>
      <c r="H339" s="14">
        <v>24</v>
      </c>
      <c r="I339" s="14">
        <v>17</v>
      </c>
      <c r="J339" s="14">
        <v>5</v>
      </c>
      <c r="K339" s="14">
        <v>12</v>
      </c>
      <c r="L339" s="14">
        <v>19</v>
      </c>
      <c r="M339" s="14">
        <v>7</v>
      </c>
    </row>
    <row r="340" spans="1:13" x14ac:dyDescent="0.2">
      <c r="A340" s="10" t="s">
        <v>1138</v>
      </c>
      <c r="B340" s="16" t="s">
        <v>1139</v>
      </c>
      <c r="C340" s="16" t="s">
        <v>548</v>
      </c>
      <c r="D340" s="14">
        <v>1419</v>
      </c>
      <c r="E340" s="14">
        <v>919</v>
      </c>
      <c r="F340" s="14">
        <v>500</v>
      </c>
      <c r="G340" s="18">
        <v>35.200000000000003</v>
      </c>
      <c r="H340" s="14">
        <v>119</v>
      </c>
      <c r="I340" s="14">
        <v>102</v>
      </c>
      <c r="J340" s="14">
        <v>16</v>
      </c>
      <c r="K340" s="14">
        <v>150</v>
      </c>
      <c r="L340" s="14">
        <v>199</v>
      </c>
      <c r="M340" s="14">
        <v>16</v>
      </c>
    </row>
    <row r="341" spans="1:13" x14ac:dyDescent="0.2">
      <c r="A341" s="10" t="s">
        <v>1140</v>
      </c>
      <c r="B341" s="16" t="s">
        <v>1141</v>
      </c>
      <c r="C341" s="16" t="s">
        <v>548</v>
      </c>
      <c r="D341" s="14">
        <v>1011</v>
      </c>
      <c r="E341" s="14">
        <v>881</v>
      </c>
      <c r="F341" s="14">
        <v>130</v>
      </c>
      <c r="G341" s="18">
        <v>12.9</v>
      </c>
      <c r="H341" s="14">
        <v>44</v>
      </c>
      <c r="I341" s="14">
        <v>24</v>
      </c>
      <c r="J341" s="14">
        <v>10</v>
      </c>
      <c r="K341" s="14">
        <v>15</v>
      </c>
      <c r="L341" s="14">
        <v>41</v>
      </c>
      <c r="M341" s="14">
        <v>20</v>
      </c>
    </row>
    <row r="342" spans="1:13" x14ac:dyDescent="0.2">
      <c r="A342" s="10" t="s">
        <v>1142</v>
      </c>
      <c r="B342" s="16" t="s">
        <v>1143</v>
      </c>
      <c r="C342" s="16" t="s">
        <v>548</v>
      </c>
      <c r="D342" s="14">
        <v>991</v>
      </c>
      <c r="E342" s="14">
        <v>841</v>
      </c>
      <c r="F342" s="14">
        <v>150</v>
      </c>
      <c r="G342" s="18">
        <v>15.1</v>
      </c>
      <c r="H342" s="14">
        <v>52</v>
      </c>
      <c r="I342" s="14">
        <v>23</v>
      </c>
      <c r="J342" s="14">
        <v>3</v>
      </c>
      <c r="K342" s="14">
        <v>23</v>
      </c>
      <c r="L342" s="14">
        <v>59</v>
      </c>
      <c r="M342" s="14">
        <v>13</v>
      </c>
    </row>
    <row r="343" spans="1:13" s="23" customFormat="1" ht="15.75" x14ac:dyDescent="0.25">
      <c r="A343" s="21" t="s">
        <v>1144</v>
      </c>
      <c r="B343" s="93" t="s">
        <v>1145</v>
      </c>
      <c r="C343" s="93" t="s">
        <v>466</v>
      </c>
      <c r="D343" s="22">
        <v>26282</v>
      </c>
      <c r="E343" s="22">
        <v>21903</v>
      </c>
      <c r="F343" s="22">
        <v>4376</v>
      </c>
      <c r="G343" s="92">
        <v>16.7</v>
      </c>
      <c r="H343" s="22">
        <v>1001</v>
      </c>
      <c r="I343" s="22">
        <v>627</v>
      </c>
      <c r="J343" s="22">
        <v>172</v>
      </c>
      <c r="K343" s="22">
        <v>1058</v>
      </c>
      <c r="L343" s="22">
        <v>1928</v>
      </c>
      <c r="M343" s="22">
        <v>217</v>
      </c>
    </row>
    <row r="344" spans="1:13" x14ac:dyDescent="0.2">
      <c r="A344" s="10" t="s">
        <v>1146</v>
      </c>
      <c r="B344" s="16" t="s">
        <v>1147</v>
      </c>
      <c r="C344" s="16" t="s">
        <v>476</v>
      </c>
      <c r="D344" s="14">
        <v>489</v>
      </c>
      <c r="E344" s="14">
        <v>466</v>
      </c>
      <c r="F344" s="14">
        <v>23</v>
      </c>
      <c r="G344" s="18">
        <v>4.7</v>
      </c>
      <c r="H344" s="14">
        <v>8</v>
      </c>
      <c r="I344" s="14">
        <v>4</v>
      </c>
      <c r="J344" s="14">
        <v>2</v>
      </c>
      <c r="K344" s="14">
        <v>2</v>
      </c>
      <c r="L344" s="14">
        <v>10</v>
      </c>
      <c r="M344" s="14">
        <v>1</v>
      </c>
    </row>
    <row r="345" spans="1:13" x14ac:dyDescent="0.2">
      <c r="A345" s="10" t="s">
        <v>1148</v>
      </c>
      <c r="B345" s="16" t="s">
        <v>1149</v>
      </c>
      <c r="C345" s="16" t="s">
        <v>476</v>
      </c>
      <c r="D345" s="14">
        <v>925</v>
      </c>
      <c r="E345" s="14">
        <v>816</v>
      </c>
      <c r="F345" s="14">
        <v>109</v>
      </c>
      <c r="G345" s="18">
        <v>11.8</v>
      </c>
      <c r="H345" s="14">
        <v>21</v>
      </c>
      <c r="I345" s="14">
        <v>7</v>
      </c>
      <c r="J345" s="14">
        <v>0</v>
      </c>
      <c r="K345" s="14">
        <v>24</v>
      </c>
      <c r="L345" s="14">
        <v>58</v>
      </c>
      <c r="M345" s="14">
        <v>6</v>
      </c>
    </row>
    <row r="346" spans="1:13" x14ac:dyDescent="0.2">
      <c r="A346" s="10" t="s">
        <v>1150</v>
      </c>
      <c r="B346" s="16" t="s">
        <v>1151</v>
      </c>
      <c r="C346" s="16" t="s">
        <v>476</v>
      </c>
      <c r="D346" s="14">
        <v>815</v>
      </c>
      <c r="E346" s="14">
        <v>725</v>
      </c>
      <c r="F346" s="14">
        <v>90</v>
      </c>
      <c r="G346" s="18">
        <v>11</v>
      </c>
      <c r="H346" s="14">
        <v>22</v>
      </c>
      <c r="I346" s="14">
        <v>9</v>
      </c>
      <c r="J346" s="14">
        <v>4</v>
      </c>
      <c r="K346" s="14">
        <v>18</v>
      </c>
      <c r="L346" s="14">
        <v>35</v>
      </c>
      <c r="M346" s="14">
        <v>11</v>
      </c>
    </row>
    <row r="347" spans="1:13" x14ac:dyDescent="0.2">
      <c r="A347" s="10" t="s">
        <v>1152</v>
      </c>
      <c r="B347" s="16" t="s">
        <v>1153</v>
      </c>
      <c r="C347" s="16" t="s">
        <v>476</v>
      </c>
      <c r="D347" s="14">
        <v>791</v>
      </c>
      <c r="E347" s="14">
        <v>703</v>
      </c>
      <c r="F347" s="14">
        <v>88</v>
      </c>
      <c r="G347" s="18">
        <v>11.1</v>
      </c>
      <c r="H347" s="14">
        <v>16</v>
      </c>
      <c r="I347" s="14">
        <v>10</v>
      </c>
      <c r="J347" s="14">
        <v>3</v>
      </c>
      <c r="K347" s="14">
        <v>24</v>
      </c>
      <c r="L347" s="14">
        <v>42</v>
      </c>
      <c r="M347" s="14">
        <v>3</v>
      </c>
    </row>
    <row r="348" spans="1:13" x14ac:dyDescent="0.2">
      <c r="A348" s="10" t="s">
        <v>1154</v>
      </c>
      <c r="B348" s="16" t="s">
        <v>1155</v>
      </c>
      <c r="C348" s="16" t="s">
        <v>476</v>
      </c>
      <c r="D348" s="14">
        <v>1237</v>
      </c>
      <c r="E348" s="14">
        <v>1063</v>
      </c>
      <c r="F348" s="14">
        <v>174</v>
      </c>
      <c r="G348" s="18">
        <v>14.1</v>
      </c>
      <c r="H348" s="14">
        <v>80</v>
      </c>
      <c r="I348" s="14">
        <v>64</v>
      </c>
      <c r="J348" s="14">
        <v>13</v>
      </c>
      <c r="K348" s="14">
        <v>27</v>
      </c>
      <c r="L348" s="14">
        <v>46</v>
      </c>
      <c r="M348" s="14">
        <v>8</v>
      </c>
    </row>
    <row r="349" spans="1:13" x14ac:dyDescent="0.2">
      <c r="A349" s="10" t="s">
        <v>1156</v>
      </c>
      <c r="B349" s="16" t="s">
        <v>1157</v>
      </c>
      <c r="C349" s="16" t="s">
        <v>476</v>
      </c>
      <c r="D349" s="14">
        <v>1116</v>
      </c>
      <c r="E349" s="14">
        <v>913</v>
      </c>
      <c r="F349" s="14">
        <v>202</v>
      </c>
      <c r="G349" s="18">
        <v>18.100000000000001</v>
      </c>
      <c r="H349" s="14">
        <v>62</v>
      </c>
      <c r="I349" s="14">
        <v>44</v>
      </c>
      <c r="J349" s="14">
        <v>8</v>
      </c>
      <c r="K349" s="14">
        <v>41</v>
      </c>
      <c r="L349" s="14">
        <v>85</v>
      </c>
      <c r="M349" s="14">
        <v>6</v>
      </c>
    </row>
    <row r="350" spans="1:13" x14ac:dyDescent="0.2">
      <c r="A350" s="10" t="s">
        <v>1158</v>
      </c>
      <c r="B350" s="16" t="s">
        <v>1159</v>
      </c>
      <c r="C350" s="16" t="s">
        <v>476</v>
      </c>
      <c r="D350" s="14">
        <v>927</v>
      </c>
      <c r="E350" s="14">
        <v>831</v>
      </c>
      <c r="F350" s="14">
        <v>96</v>
      </c>
      <c r="G350" s="18">
        <v>10.4</v>
      </c>
      <c r="H350" s="14">
        <v>32</v>
      </c>
      <c r="I350" s="14">
        <v>20</v>
      </c>
      <c r="J350" s="14">
        <v>8</v>
      </c>
      <c r="K350" s="14">
        <v>16</v>
      </c>
      <c r="L350" s="14">
        <v>35</v>
      </c>
      <c r="M350" s="14">
        <v>5</v>
      </c>
    </row>
    <row r="351" spans="1:13" x14ac:dyDescent="0.2">
      <c r="A351" s="10" t="s">
        <v>1160</v>
      </c>
      <c r="B351" s="16" t="s">
        <v>1161</v>
      </c>
      <c r="C351" s="16" t="s">
        <v>476</v>
      </c>
      <c r="D351" s="14">
        <v>500</v>
      </c>
      <c r="E351" s="14">
        <v>448</v>
      </c>
      <c r="F351" s="14">
        <v>52</v>
      </c>
      <c r="G351" s="18">
        <v>10.4</v>
      </c>
      <c r="H351" s="14">
        <v>13</v>
      </c>
      <c r="I351" s="14">
        <v>8</v>
      </c>
      <c r="J351" s="14">
        <v>0</v>
      </c>
      <c r="K351" s="14">
        <v>14</v>
      </c>
      <c r="L351" s="14">
        <v>19</v>
      </c>
      <c r="M351" s="14">
        <v>6</v>
      </c>
    </row>
    <row r="352" spans="1:13" x14ac:dyDescent="0.2">
      <c r="A352" s="10" t="s">
        <v>1162</v>
      </c>
      <c r="B352" s="16" t="s">
        <v>1163</v>
      </c>
      <c r="C352" s="16" t="s">
        <v>476</v>
      </c>
      <c r="D352" s="14">
        <v>954</v>
      </c>
      <c r="E352" s="14">
        <v>876</v>
      </c>
      <c r="F352" s="14">
        <v>78</v>
      </c>
      <c r="G352" s="18">
        <v>8.1999999999999993</v>
      </c>
      <c r="H352" s="14">
        <v>23</v>
      </c>
      <c r="I352" s="14">
        <v>11</v>
      </c>
      <c r="J352" s="14">
        <v>6</v>
      </c>
      <c r="K352" s="14">
        <v>19</v>
      </c>
      <c r="L352" s="14">
        <v>23</v>
      </c>
      <c r="M352" s="14">
        <v>7</v>
      </c>
    </row>
    <row r="353" spans="1:13" x14ac:dyDescent="0.2">
      <c r="A353" s="10" t="s">
        <v>1164</v>
      </c>
      <c r="B353" s="16" t="s">
        <v>1165</v>
      </c>
      <c r="C353" s="16" t="s">
        <v>476</v>
      </c>
      <c r="D353" s="14">
        <v>1523</v>
      </c>
      <c r="E353" s="14">
        <v>1383</v>
      </c>
      <c r="F353" s="14">
        <v>140</v>
      </c>
      <c r="G353" s="18">
        <v>9.1999999999999993</v>
      </c>
      <c r="H353" s="14">
        <v>52</v>
      </c>
      <c r="I353" s="14">
        <v>30</v>
      </c>
      <c r="J353" s="14">
        <v>2</v>
      </c>
      <c r="K353" s="14">
        <v>17</v>
      </c>
      <c r="L353" s="14">
        <v>57</v>
      </c>
      <c r="M353" s="14">
        <v>12</v>
      </c>
    </row>
    <row r="354" spans="1:13" x14ac:dyDescent="0.2">
      <c r="A354" s="10" t="s">
        <v>1166</v>
      </c>
      <c r="B354" s="16" t="s">
        <v>1167</v>
      </c>
      <c r="C354" s="16" t="s">
        <v>476</v>
      </c>
      <c r="D354" s="14">
        <v>1986</v>
      </c>
      <c r="E354" s="14">
        <v>1469</v>
      </c>
      <c r="F354" s="14">
        <v>517</v>
      </c>
      <c r="G354" s="18">
        <v>26</v>
      </c>
      <c r="H354" s="14">
        <v>76</v>
      </c>
      <c r="I354" s="14">
        <v>53</v>
      </c>
      <c r="J354" s="14">
        <v>17</v>
      </c>
      <c r="K354" s="14">
        <v>162</v>
      </c>
      <c r="L354" s="14">
        <v>240</v>
      </c>
      <c r="M354" s="14">
        <v>22</v>
      </c>
    </row>
    <row r="355" spans="1:13" x14ac:dyDescent="0.2">
      <c r="A355" s="10" t="s">
        <v>1168</v>
      </c>
      <c r="B355" s="16" t="s">
        <v>1169</v>
      </c>
      <c r="C355" s="16" t="s">
        <v>476</v>
      </c>
      <c r="D355" s="14">
        <v>1173</v>
      </c>
      <c r="E355" s="14">
        <v>1079</v>
      </c>
      <c r="F355" s="14">
        <v>94</v>
      </c>
      <c r="G355" s="18">
        <v>8</v>
      </c>
      <c r="H355" s="14">
        <v>23</v>
      </c>
      <c r="I355" s="14">
        <v>14</v>
      </c>
      <c r="J355" s="14">
        <v>6</v>
      </c>
      <c r="K355" s="14">
        <v>27</v>
      </c>
      <c r="L355" s="14">
        <v>35</v>
      </c>
      <c r="M355" s="14">
        <v>3</v>
      </c>
    </row>
    <row r="356" spans="1:13" x14ac:dyDescent="0.2">
      <c r="A356" s="10" t="s">
        <v>1170</v>
      </c>
      <c r="B356" s="16" t="s">
        <v>1171</v>
      </c>
      <c r="C356" s="16" t="s">
        <v>476</v>
      </c>
      <c r="D356" s="14">
        <v>1142</v>
      </c>
      <c r="E356" s="14">
        <v>1051</v>
      </c>
      <c r="F356" s="14">
        <v>91</v>
      </c>
      <c r="G356" s="18">
        <v>8</v>
      </c>
      <c r="H356" s="14">
        <v>27</v>
      </c>
      <c r="I356" s="14">
        <v>18</v>
      </c>
      <c r="J356" s="14">
        <v>4</v>
      </c>
      <c r="K356" s="14">
        <v>20</v>
      </c>
      <c r="L356" s="14">
        <v>38</v>
      </c>
      <c r="M356" s="14">
        <v>2</v>
      </c>
    </row>
    <row r="357" spans="1:13" x14ac:dyDescent="0.2">
      <c r="A357" s="10" t="s">
        <v>1172</v>
      </c>
      <c r="B357" s="16" t="s">
        <v>1173</v>
      </c>
      <c r="C357" s="16" t="s">
        <v>476</v>
      </c>
      <c r="D357" s="14">
        <v>1111</v>
      </c>
      <c r="E357" s="14">
        <v>986</v>
      </c>
      <c r="F357" s="14">
        <v>125</v>
      </c>
      <c r="G357" s="18">
        <v>11.3</v>
      </c>
      <c r="H357" s="14">
        <v>27</v>
      </c>
      <c r="I357" s="14">
        <v>9</v>
      </c>
      <c r="J357" s="14">
        <v>3</v>
      </c>
      <c r="K357" s="14">
        <v>17</v>
      </c>
      <c r="L357" s="14">
        <v>69</v>
      </c>
      <c r="M357" s="14">
        <v>9</v>
      </c>
    </row>
    <row r="358" spans="1:13" x14ac:dyDescent="0.2">
      <c r="A358" s="10" t="s">
        <v>1174</v>
      </c>
      <c r="B358" s="16" t="s">
        <v>1175</v>
      </c>
      <c r="C358" s="16" t="s">
        <v>476</v>
      </c>
      <c r="D358" s="14">
        <v>3658</v>
      </c>
      <c r="E358" s="14">
        <v>2316</v>
      </c>
      <c r="F358" s="14">
        <v>1340</v>
      </c>
      <c r="G358" s="18">
        <v>36.6</v>
      </c>
      <c r="H358" s="14">
        <v>217</v>
      </c>
      <c r="I358" s="14">
        <v>119</v>
      </c>
      <c r="J358" s="14">
        <v>34</v>
      </c>
      <c r="K358" s="14">
        <v>372</v>
      </c>
      <c r="L358" s="14">
        <v>653</v>
      </c>
      <c r="M358" s="14">
        <v>64</v>
      </c>
    </row>
    <row r="359" spans="1:13" x14ac:dyDescent="0.2">
      <c r="A359" s="10" t="s">
        <v>1176</v>
      </c>
      <c r="B359" s="16" t="s">
        <v>1177</v>
      </c>
      <c r="C359" s="16" t="s">
        <v>476</v>
      </c>
      <c r="D359" s="14">
        <v>1998</v>
      </c>
      <c r="E359" s="14">
        <v>1821</v>
      </c>
      <c r="F359" s="14">
        <v>177</v>
      </c>
      <c r="G359" s="18">
        <v>8.9</v>
      </c>
      <c r="H359" s="14">
        <v>37</v>
      </c>
      <c r="I359" s="14">
        <v>16</v>
      </c>
      <c r="J359" s="14">
        <v>11</v>
      </c>
      <c r="K359" s="14">
        <v>40</v>
      </c>
      <c r="L359" s="14">
        <v>73</v>
      </c>
      <c r="M359" s="14">
        <v>16</v>
      </c>
    </row>
    <row r="360" spans="1:13" x14ac:dyDescent="0.2">
      <c r="A360" s="10" t="s">
        <v>1178</v>
      </c>
      <c r="B360" s="16" t="s">
        <v>1179</v>
      </c>
      <c r="C360" s="16" t="s">
        <v>476</v>
      </c>
      <c r="D360" s="14">
        <v>523</v>
      </c>
      <c r="E360" s="14">
        <v>462</v>
      </c>
      <c r="F360" s="14">
        <v>61</v>
      </c>
      <c r="G360" s="18">
        <v>11.7</v>
      </c>
      <c r="H360" s="14">
        <v>18</v>
      </c>
      <c r="I360" s="14">
        <v>14</v>
      </c>
      <c r="J360" s="14">
        <v>5</v>
      </c>
      <c r="K360" s="14">
        <v>9</v>
      </c>
      <c r="L360" s="14">
        <v>27</v>
      </c>
      <c r="M360" s="14">
        <v>2</v>
      </c>
    </row>
    <row r="361" spans="1:13" x14ac:dyDescent="0.2">
      <c r="A361" s="10" t="s">
        <v>1180</v>
      </c>
      <c r="B361" s="16" t="s">
        <v>1181</v>
      </c>
      <c r="C361" s="16" t="s">
        <v>476</v>
      </c>
      <c r="D361" s="14">
        <v>1501</v>
      </c>
      <c r="E361" s="14">
        <v>1390</v>
      </c>
      <c r="F361" s="14">
        <v>111</v>
      </c>
      <c r="G361" s="18">
        <v>7.4</v>
      </c>
      <c r="H361" s="14">
        <v>39</v>
      </c>
      <c r="I361" s="14">
        <v>25</v>
      </c>
      <c r="J361" s="14">
        <v>10</v>
      </c>
      <c r="K361" s="14">
        <v>15</v>
      </c>
      <c r="L361" s="14">
        <v>39</v>
      </c>
      <c r="M361" s="14">
        <v>8</v>
      </c>
    </row>
    <row r="362" spans="1:13" x14ac:dyDescent="0.2">
      <c r="A362" s="10" t="s">
        <v>1182</v>
      </c>
      <c r="B362" s="16" t="s">
        <v>1183</v>
      </c>
      <c r="C362" s="16" t="s">
        <v>476</v>
      </c>
      <c r="D362" s="14">
        <v>586</v>
      </c>
      <c r="E362" s="14">
        <v>536</v>
      </c>
      <c r="F362" s="14">
        <v>50</v>
      </c>
      <c r="G362" s="18">
        <v>8.5</v>
      </c>
      <c r="H362" s="14">
        <v>13</v>
      </c>
      <c r="I362" s="14">
        <v>10</v>
      </c>
      <c r="J362" s="14">
        <v>6</v>
      </c>
      <c r="K362" s="14">
        <v>12</v>
      </c>
      <c r="L362" s="14">
        <v>15</v>
      </c>
      <c r="M362" s="14">
        <v>4</v>
      </c>
    </row>
    <row r="363" spans="1:13" x14ac:dyDescent="0.2">
      <c r="A363" s="10" t="s">
        <v>1184</v>
      </c>
      <c r="B363" s="16" t="s">
        <v>1185</v>
      </c>
      <c r="C363" s="16" t="s">
        <v>476</v>
      </c>
      <c r="D363" s="14">
        <v>866</v>
      </c>
      <c r="E363" s="14">
        <v>783</v>
      </c>
      <c r="F363" s="14">
        <v>83</v>
      </c>
      <c r="G363" s="18">
        <v>9.6</v>
      </c>
      <c r="H363" s="14">
        <v>37</v>
      </c>
      <c r="I363" s="14">
        <v>23</v>
      </c>
      <c r="J363" s="14">
        <v>6</v>
      </c>
      <c r="K363" s="14">
        <v>14</v>
      </c>
      <c r="L363" s="14">
        <v>25</v>
      </c>
      <c r="M363" s="14">
        <v>1</v>
      </c>
    </row>
    <row r="364" spans="1:13" x14ac:dyDescent="0.2">
      <c r="A364" s="10" t="s">
        <v>1186</v>
      </c>
      <c r="B364" s="16" t="s">
        <v>1187</v>
      </c>
      <c r="C364" s="16" t="s">
        <v>476</v>
      </c>
      <c r="D364" s="14">
        <v>724</v>
      </c>
      <c r="E364" s="14">
        <v>651</v>
      </c>
      <c r="F364" s="14">
        <v>73</v>
      </c>
      <c r="G364" s="18">
        <v>10.1</v>
      </c>
      <c r="H364" s="14">
        <v>33</v>
      </c>
      <c r="I364" s="14">
        <v>19</v>
      </c>
      <c r="J364" s="14">
        <v>3</v>
      </c>
      <c r="K364" s="14">
        <v>9</v>
      </c>
      <c r="L364" s="14">
        <v>20</v>
      </c>
      <c r="M364" s="14">
        <v>8</v>
      </c>
    </row>
    <row r="365" spans="1:13" x14ac:dyDescent="0.2">
      <c r="A365" s="10" t="s">
        <v>1188</v>
      </c>
      <c r="B365" s="16" t="s">
        <v>1189</v>
      </c>
      <c r="C365" s="16" t="s">
        <v>476</v>
      </c>
      <c r="D365" s="14">
        <v>1737</v>
      </c>
      <c r="E365" s="14">
        <v>1135</v>
      </c>
      <c r="F365" s="14">
        <v>602</v>
      </c>
      <c r="G365" s="18">
        <v>34.700000000000003</v>
      </c>
      <c r="H365" s="14">
        <v>125</v>
      </c>
      <c r="I365" s="14">
        <v>100</v>
      </c>
      <c r="J365" s="14">
        <v>21</v>
      </c>
      <c r="K365" s="14">
        <v>159</v>
      </c>
      <c r="L365" s="14">
        <v>284</v>
      </c>
      <c r="M365" s="14">
        <v>13</v>
      </c>
    </row>
    <row r="366" spans="1:13" x14ac:dyDescent="0.2">
      <c r="A366" s="95" t="s">
        <v>1190</v>
      </c>
      <c r="B366" s="96" t="s">
        <v>245</v>
      </c>
      <c r="C366" s="61"/>
      <c r="D366" s="15">
        <v>126</v>
      </c>
      <c r="E366" s="15">
        <v>66</v>
      </c>
      <c r="F366" s="15">
        <v>60</v>
      </c>
      <c r="G366" s="19">
        <v>47.6</v>
      </c>
      <c r="H366" s="15">
        <v>20</v>
      </c>
      <c r="I366" s="15">
        <v>6</v>
      </c>
      <c r="J366" s="15">
        <v>2</v>
      </c>
      <c r="K366" s="15">
        <v>15</v>
      </c>
      <c r="L366" s="15">
        <v>13</v>
      </c>
      <c r="M366" s="15">
        <v>10</v>
      </c>
    </row>
  </sheetData>
  <phoneticPr fontId="7" type="noConversion"/>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66"/>
  <sheetViews>
    <sheetView showGridLines="0" workbookViewId="0"/>
  </sheetViews>
  <sheetFormatPr defaultColWidth="11.5546875" defaultRowHeight="15" x14ac:dyDescent="0.2"/>
  <cols>
    <col min="1" max="1" width="20.6640625" customWidth="1"/>
    <col min="2" max="2" width="34.6640625" customWidth="1"/>
    <col min="3" max="3" width="20.6640625" customWidth="1"/>
    <col min="4" max="4" width="11.6640625" customWidth="1"/>
    <col min="5" max="10" width="24" style="29" customWidth="1"/>
  </cols>
  <sheetData>
    <row r="1" spans="1:10" ht="20.25" x14ac:dyDescent="0.3">
      <c r="A1" s="6" t="s">
        <v>1191</v>
      </c>
    </row>
    <row r="2" spans="1:10" x14ac:dyDescent="0.2">
      <c r="A2" t="s">
        <v>94</v>
      </c>
    </row>
    <row r="3" spans="1:10" x14ac:dyDescent="0.2">
      <c r="A3" t="s">
        <v>1192</v>
      </c>
    </row>
    <row r="4" spans="1:10" x14ac:dyDescent="0.2">
      <c r="A4" t="s">
        <v>217</v>
      </c>
    </row>
    <row r="5" spans="1:10" x14ac:dyDescent="0.2">
      <c r="A5" t="s">
        <v>218</v>
      </c>
    </row>
    <row r="6" spans="1:10" ht="62.25" x14ac:dyDescent="0.25">
      <c r="A6" s="87" t="s">
        <v>451</v>
      </c>
      <c r="B6" s="89" t="s">
        <v>452</v>
      </c>
      <c r="C6" s="89" t="s">
        <v>1193</v>
      </c>
      <c r="D6" s="88" t="s">
        <v>454</v>
      </c>
      <c r="E6" s="86" t="s">
        <v>1194</v>
      </c>
      <c r="F6" s="86" t="s">
        <v>1195</v>
      </c>
      <c r="G6" s="86" t="s">
        <v>1196</v>
      </c>
      <c r="H6" s="86" t="s">
        <v>1197</v>
      </c>
      <c r="I6" s="86" t="s">
        <v>1198</v>
      </c>
      <c r="J6" s="86" t="s">
        <v>1199</v>
      </c>
    </row>
    <row r="7" spans="1:10" s="23" customFormat="1" ht="15.75" x14ac:dyDescent="0.25">
      <c r="A7" s="21" t="s">
        <v>464</v>
      </c>
      <c r="B7" s="93" t="s">
        <v>465</v>
      </c>
      <c r="C7" s="93" t="s">
        <v>466</v>
      </c>
      <c r="D7" s="22">
        <v>585396</v>
      </c>
      <c r="E7" s="101">
        <v>75257</v>
      </c>
      <c r="F7" s="102">
        <v>12.9</v>
      </c>
      <c r="G7" s="101">
        <v>160016</v>
      </c>
      <c r="H7" s="102">
        <v>27.3</v>
      </c>
      <c r="I7" s="101">
        <v>235273</v>
      </c>
      <c r="J7" s="102">
        <v>40.200000000000003</v>
      </c>
    </row>
    <row r="8" spans="1:10" s="23" customFormat="1" ht="15.75" x14ac:dyDescent="0.25">
      <c r="A8" s="21" t="s">
        <v>467</v>
      </c>
      <c r="B8" s="93" t="s">
        <v>468</v>
      </c>
      <c r="C8" s="93" t="s">
        <v>466</v>
      </c>
      <c r="D8" s="22">
        <v>585270</v>
      </c>
      <c r="E8" s="101">
        <v>75227</v>
      </c>
      <c r="F8" s="102">
        <v>12.9</v>
      </c>
      <c r="G8" s="101">
        <v>159974</v>
      </c>
      <c r="H8" s="102">
        <v>27.3</v>
      </c>
      <c r="I8" s="101">
        <v>235201</v>
      </c>
      <c r="J8" s="102">
        <v>40.200000000000003</v>
      </c>
    </row>
    <row r="9" spans="1:10" s="23" customFormat="1" ht="15.75" x14ac:dyDescent="0.25">
      <c r="A9" s="21" t="s">
        <v>469</v>
      </c>
      <c r="B9" s="93" t="s">
        <v>470</v>
      </c>
      <c r="C9" s="93" t="s">
        <v>466</v>
      </c>
      <c r="D9" s="22">
        <v>558988</v>
      </c>
      <c r="E9" s="101">
        <v>73263</v>
      </c>
      <c r="F9" s="102">
        <v>13.1</v>
      </c>
      <c r="G9" s="101">
        <v>156686</v>
      </c>
      <c r="H9" s="102">
        <v>28</v>
      </c>
      <c r="I9" s="101">
        <v>229949</v>
      </c>
      <c r="J9" s="102">
        <v>41.1</v>
      </c>
    </row>
    <row r="10" spans="1:10" s="23" customFormat="1" ht="15.75" x14ac:dyDescent="0.25">
      <c r="A10" s="21" t="s">
        <v>471</v>
      </c>
      <c r="B10" s="93" t="s">
        <v>472</v>
      </c>
      <c r="C10" s="93" t="s">
        <v>473</v>
      </c>
      <c r="D10" s="22">
        <v>24154</v>
      </c>
      <c r="E10" s="101">
        <v>1847</v>
      </c>
      <c r="F10" s="102">
        <v>7.6</v>
      </c>
      <c r="G10" s="101">
        <v>3991</v>
      </c>
      <c r="H10" s="102">
        <v>16.5</v>
      </c>
      <c r="I10" s="101">
        <v>5838</v>
      </c>
      <c r="J10" s="102">
        <v>24.2</v>
      </c>
    </row>
    <row r="11" spans="1:10" x14ac:dyDescent="0.2">
      <c r="A11" s="10" t="s">
        <v>474</v>
      </c>
      <c r="B11" s="16" t="s">
        <v>475</v>
      </c>
      <c r="C11" s="16" t="s">
        <v>476</v>
      </c>
      <c r="D11" s="14">
        <v>4369</v>
      </c>
      <c r="E11" s="97">
        <v>269</v>
      </c>
      <c r="F11" s="98">
        <v>6.2</v>
      </c>
      <c r="G11" s="97">
        <v>346</v>
      </c>
      <c r="H11" s="98">
        <v>7.9</v>
      </c>
      <c r="I11" s="97">
        <v>615</v>
      </c>
      <c r="J11" s="98">
        <v>14.1</v>
      </c>
    </row>
    <row r="12" spans="1:10" x14ac:dyDescent="0.2">
      <c r="A12" s="10" t="s">
        <v>477</v>
      </c>
      <c r="B12" s="16" t="s">
        <v>478</v>
      </c>
      <c r="C12" s="16" t="s">
        <v>476</v>
      </c>
      <c r="D12" s="14">
        <v>1058</v>
      </c>
      <c r="E12" s="97">
        <v>83</v>
      </c>
      <c r="F12" s="98">
        <v>7.8</v>
      </c>
      <c r="G12" s="97">
        <v>190</v>
      </c>
      <c r="H12" s="98">
        <v>18</v>
      </c>
      <c r="I12" s="97">
        <v>273</v>
      </c>
      <c r="J12" s="98">
        <v>25.8</v>
      </c>
    </row>
    <row r="13" spans="1:10" x14ac:dyDescent="0.2">
      <c r="A13" s="10" t="s">
        <v>479</v>
      </c>
      <c r="B13" s="16" t="s">
        <v>480</v>
      </c>
      <c r="C13" s="16" t="s">
        <v>476</v>
      </c>
      <c r="D13" s="14">
        <v>984</v>
      </c>
      <c r="E13" s="97">
        <v>60</v>
      </c>
      <c r="F13" s="98">
        <v>6.1</v>
      </c>
      <c r="G13" s="97">
        <v>104</v>
      </c>
      <c r="H13" s="98">
        <v>10.6</v>
      </c>
      <c r="I13" s="97">
        <v>164</v>
      </c>
      <c r="J13" s="98">
        <v>16.7</v>
      </c>
    </row>
    <row r="14" spans="1:10" x14ac:dyDescent="0.2">
      <c r="A14" s="10" t="s">
        <v>481</v>
      </c>
      <c r="B14" s="16" t="s">
        <v>482</v>
      </c>
      <c r="C14" s="16" t="s">
        <v>476</v>
      </c>
      <c r="D14" s="14">
        <v>1810</v>
      </c>
      <c r="E14" s="97">
        <v>150</v>
      </c>
      <c r="F14" s="98">
        <v>8.3000000000000007</v>
      </c>
      <c r="G14" s="97">
        <v>631</v>
      </c>
      <c r="H14" s="98">
        <v>34.9</v>
      </c>
      <c r="I14" s="97">
        <v>781</v>
      </c>
      <c r="J14" s="98">
        <v>43.1</v>
      </c>
    </row>
    <row r="15" spans="1:10" x14ac:dyDescent="0.2">
      <c r="A15" s="10" t="s">
        <v>483</v>
      </c>
      <c r="B15" s="16" t="s">
        <v>484</v>
      </c>
      <c r="C15" s="16" t="s">
        <v>476</v>
      </c>
      <c r="D15" s="14">
        <v>2373</v>
      </c>
      <c r="E15" s="97">
        <v>149</v>
      </c>
      <c r="F15" s="98">
        <v>6.3</v>
      </c>
      <c r="G15" s="97">
        <v>132</v>
      </c>
      <c r="H15" s="98">
        <v>5.6</v>
      </c>
      <c r="I15" s="97">
        <v>281</v>
      </c>
      <c r="J15" s="98">
        <v>11.8</v>
      </c>
    </row>
    <row r="16" spans="1:10" x14ac:dyDescent="0.2">
      <c r="A16" s="10" t="s">
        <v>485</v>
      </c>
      <c r="B16" s="16" t="s">
        <v>486</v>
      </c>
      <c r="C16" s="16" t="s">
        <v>476</v>
      </c>
      <c r="D16" s="14">
        <v>1151</v>
      </c>
      <c r="E16" s="97">
        <v>56</v>
      </c>
      <c r="F16" s="98">
        <v>4.9000000000000004</v>
      </c>
      <c r="G16" s="97">
        <v>58</v>
      </c>
      <c r="H16" s="98">
        <v>5</v>
      </c>
      <c r="I16" s="97">
        <v>114</v>
      </c>
      <c r="J16" s="98">
        <v>9.9</v>
      </c>
    </row>
    <row r="17" spans="1:10" x14ac:dyDescent="0.2">
      <c r="A17" s="10" t="s">
        <v>487</v>
      </c>
      <c r="B17" s="16" t="s">
        <v>488</v>
      </c>
      <c r="C17" s="16" t="s">
        <v>476</v>
      </c>
      <c r="D17" s="14">
        <v>1860</v>
      </c>
      <c r="E17" s="97">
        <v>139</v>
      </c>
      <c r="F17" s="98">
        <v>7.5</v>
      </c>
      <c r="G17" s="97">
        <v>314</v>
      </c>
      <c r="H17" s="98">
        <v>16.899999999999999</v>
      </c>
      <c r="I17" s="97">
        <v>453</v>
      </c>
      <c r="J17" s="98">
        <v>24.4</v>
      </c>
    </row>
    <row r="18" spans="1:10" s="23" customFormat="1" ht="15.75" x14ac:dyDescent="0.25">
      <c r="A18" s="21" t="s">
        <v>489</v>
      </c>
      <c r="B18" s="93" t="s">
        <v>490</v>
      </c>
      <c r="C18" s="93" t="s">
        <v>491</v>
      </c>
      <c r="D18" s="22">
        <v>10549</v>
      </c>
      <c r="E18" s="101">
        <v>941</v>
      </c>
      <c r="F18" s="102">
        <v>8.9</v>
      </c>
      <c r="G18" s="101">
        <v>2216</v>
      </c>
      <c r="H18" s="102">
        <v>21</v>
      </c>
      <c r="I18" s="101">
        <v>3157</v>
      </c>
      <c r="J18" s="102">
        <v>29.9</v>
      </c>
    </row>
    <row r="19" spans="1:10" x14ac:dyDescent="0.2">
      <c r="A19" s="10" t="s">
        <v>492</v>
      </c>
      <c r="B19" s="16" t="s">
        <v>493</v>
      </c>
      <c r="C19" s="16" t="s">
        <v>494</v>
      </c>
      <c r="D19" s="14">
        <v>1866</v>
      </c>
      <c r="E19" s="97">
        <v>195</v>
      </c>
      <c r="F19" s="98">
        <v>10.5</v>
      </c>
      <c r="G19" s="97">
        <v>402</v>
      </c>
      <c r="H19" s="98">
        <v>21.5</v>
      </c>
      <c r="I19" s="97">
        <v>597</v>
      </c>
      <c r="J19" s="98">
        <v>32</v>
      </c>
    </row>
    <row r="20" spans="1:10" x14ac:dyDescent="0.2">
      <c r="A20" s="10" t="s">
        <v>495</v>
      </c>
      <c r="B20" s="16" t="s">
        <v>496</v>
      </c>
      <c r="C20" s="16" t="s">
        <v>494</v>
      </c>
      <c r="D20" s="14">
        <v>3018</v>
      </c>
      <c r="E20" s="97">
        <v>367</v>
      </c>
      <c r="F20" s="98">
        <v>12.2</v>
      </c>
      <c r="G20" s="97">
        <v>965</v>
      </c>
      <c r="H20" s="98">
        <v>32</v>
      </c>
      <c r="I20" s="97">
        <v>1332</v>
      </c>
      <c r="J20" s="98">
        <v>44.1</v>
      </c>
    </row>
    <row r="21" spans="1:10" x14ac:dyDescent="0.2">
      <c r="A21" s="10" t="s">
        <v>497</v>
      </c>
      <c r="B21" s="16" t="s">
        <v>498</v>
      </c>
      <c r="C21" s="16" t="s">
        <v>494</v>
      </c>
      <c r="D21" s="14">
        <v>1838</v>
      </c>
      <c r="E21" s="97">
        <v>162</v>
      </c>
      <c r="F21" s="98">
        <v>8.8000000000000007</v>
      </c>
      <c r="G21" s="97">
        <v>193</v>
      </c>
      <c r="H21" s="98">
        <v>10.5</v>
      </c>
      <c r="I21" s="97">
        <v>355</v>
      </c>
      <c r="J21" s="98">
        <v>19.3</v>
      </c>
    </row>
    <row r="22" spans="1:10" x14ac:dyDescent="0.2">
      <c r="A22" s="10" t="s">
        <v>499</v>
      </c>
      <c r="B22" s="16" t="s">
        <v>500</v>
      </c>
      <c r="C22" s="16" t="s">
        <v>494</v>
      </c>
      <c r="D22" s="14">
        <v>1281</v>
      </c>
      <c r="E22" s="97">
        <v>75</v>
      </c>
      <c r="F22" s="98">
        <v>5.9</v>
      </c>
      <c r="G22" s="97">
        <v>156</v>
      </c>
      <c r="H22" s="98">
        <v>12.2</v>
      </c>
      <c r="I22" s="97">
        <v>231</v>
      </c>
      <c r="J22" s="98">
        <v>18</v>
      </c>
    </row>
    <row r="23" spans="1:10" x14ac:dyDescent="0.2">
      <c r="A23" s="10" t="s">
        <v>501</v>
      </c>
      <c r="B23" s="16" t="s">
        <v>502</v>
      </c>
      <c r="C23" s="16" t="s">
        <v>494</v>
      </c>
      <c r="D23" s="14">
        <v>2546</v>
      </c>
      <c r="E23" s="97">
        <v>142</v>
      </c>
      <c r="F23" s="98">
        <v>5.6</v>
      </c>
      <c r="G23" s="97">
        <v>500</v>
      </c>
      <c r="H23" s="98">
        <v>19.600000000000001</v>
      </c>
      <c r="I23" s="97">
        <v>642</v>
      </c>
      <c r="J23" s="98">
        <v>25.2</v>
      </c>
    </row>
    <row r="24" spans="1:10" s="23" customFormat="1" ht="15.75" x14ac:dyDescent="0.25">
      <c r="A24" s="21" t="s">
        <v>503</v>
      </c>
      <c r="B24" s="93" t="s">
        <v>504</v>
      </c>
      <c r="C24" s="93" t="s">
        <v>473</v>
      </c>
      <c r="D24" s="22">
        <v>73656</v>
      </c>
      <c r="E24" s="101">
        <v>8123</v>
      </c>
      <c r="F24" s="102">
        <v>11</v>
      </c>
      <c r="G24" s="101">
        <v>17537</v>
      </c>
      <c r="H24" s="102">
        <v>23.8</v>
      </c>
      <c r="I24" s="101">
        <v>25660</v>
      </c>
      <c r="J24" s="102">
        <v>34.799999999999997</v>
      </c>
    </row>
    <row r="25" spans="1:10" x14ac:dyDescent="0.2">
      <c r="A25" s="10" t="s">
        <v>505</v>
      </c>
      <c r="B25" s="16" t="s">
        <v>506</v>
      </c>
      <c r="C25" s="16" t="s">
        <v>476</v>
      </c>
      <c r="D25" s="14">
        <v>1953</v>
      </c>
      <c r="E25" s="97">
        <v>378</v>
      </c>
      <c r="F25" s="98">
        <v>19.399999999999999</v>
      </c>
      <c r="G25" s="97">
        <v>570</v>
      </c>
      <c r="H25" s="98">
        <v>29.2</v>
      </c>
      <c r="I25" s="97">
        <v>948</v>
      </c>
      <c r="J25" s="98">
        <v>48.5</v>
      </c>
    </row>
    <row r="26" spans="1:10" x14ac:dyDescent="0.2">
      <c r="A26" s="10" t="s">
        <v>507</v>
      </c>
      <c r="B26" s="16" t="s">
        <v>508</v>
      </c>
      <c r="C26" s="16" t="s">
        <v>476</v>
      </c>
      <c r="D26" s="14">
        <v>1391</v>
      </c>
      <c r="E26" s="97">
        <v>105</v>
      </c>
      <c r="F26" s="98">
        <v>7.5</v>
      </c>
      <c r="G26" s="97">
        <v>259</v>
      </c>
      <c r="H26" s="98">
        <v>18.600000000000001</v>
      </c>
      <c r="I26" s="97">
        <v>364</v>
      </c>
      <c r="J26" s="98">
        <v>26.2</v>
      </c>
    </row>
    <row r="27" spans="1:10" x14ac:dyDescent="0.2">
      <c r="A27" s="10" t="s">
        <v>509</v>
      </c>
      <c r="B27" s="16" t="s">
        <v>510</v>
      </c>
      <c r="C27" s="16" t="s">
        <v>476</v>
      </c>
      <c r="D27" s="14">
        <v>3585</v>
      </c>
      <c r="E27" s="97">
        <v>371</v>
      </c>
      <c r="F27" s="98">
        <v>10.3</v>
      </c>
      <c r="G27" s="97">
        <v>466</v>
      </c>
      <c r="H27" s="98">
        <v>13</v>
      </c>
      <c r="I27" s="97">
        <v>837</v>
      </c>
      <c r="J27" s="98">
        <v>23.3</v>
      </c>
    </row>
    <row r="28" spans="1:10" x14ac:dyDescent="0.2">
      <c r="A28" s="10" t="s">
        <v>511</v>
      </c>
      <c r="B28" s="16" t="s">
        <v>512</v>
      </c>
      <c r="C28" s="16" t="s">
        <v>476</v>
      </c>
      <c r="D28" s="14">
        <v>2949</v>
      </c>
      <c r="E28" s="97">
        <v>259</v>
      </c>
      <c r="F28" s="98">
        <v>8.8000000000000007</v>
      </c>
      <c r="G28" s="97">
        <v>337</v>
      </c>
      <c r="H28" s="98">
        <v>11.4</v>
      </c>
      <c r="I28" s="97">
        <v>596</v>
      </c>
      <c r="J28" s="98">
        <v>20.2</v>
      </c>
    </row>
    <row r="29" spans="1:10" x14ac:dyDescent="0.2">
      <c r="A29" s="10" t="s">
        <v>513</v>
      </c>
      <c r="B29" s="16" t="s">
        <v>514</v>
      </c>
      <c r="C29" s="16" t="s">
        <v>476</v>
      </c>
      <c r="D29" s="14">
        <v>1059</v>
      </c>
      <c r="E29" s="97">
        <v>58</v>
      </c>
      <c r="F29" s="98">
        <v>5.5</v>
      </c>
      <c r="G29" s="97">
        <v>102</v>
      </c>
      <c r="H29" s="98">
        <v>9.6</v>
      </c>
      <c r="I29" s="97">
        <v>160</v>
      </c>
      <c r="J29" s="98">
        <v>15.1</v>
      </c>
    </row>
    <row r="30" spans="1:10" x14ac:dyDescent="0.2">
      <c r="A30" s="10" t="s">
        <v>515</v>
      </c>
      <c r="B30" s="16" t="s">
        <v>516</v>
      </c>
      <c r="C30" s="16" t="s">
        <v>476</v>
      </c>
      <c r="D30" s="14">
        <v>1799</v>
      </c>
      <c r="E30" s="97">
        <v>148</v>
      </c>
      <c r="F30" s="98">
        <v>8.1999999999999993</v>
      </c>
      <c r="G30" s="97">
        <v>338</v>
      </c>
      <c r="H30" s="98">
        <v>18.8</v>
      </c>
      <c r="I30" s="97">
        <v>486</v>
      </c>
      <c r="J30" s="98">
        <v>27</v>
      </c>
    </row>
    <row r="31" spans="1:10" x14ac:dyDescent="0.2">
      <c r="A31" s="10" t="s">
        <v>517</v>
      </c>
      <c r="B31" s="16" t="s">
        <v>518</v>
      </c>
      <c r="C31" s="16" t="s">
        <v>476</v>
      </c>
      <c r="D31" s="14">
        <v>2222</v>
      </c>
      <c r="E31" s="97">
        <v>126</v>
      </c>
      <c r="F31" s="98">
        <v>5.7</v>
      </c>
      <c r="G31" s="97">
        <v>234</v>
      </c>
      <c r="H31" s="98">
        <v>10.5</v>
      </c>
      <c r="I31" s="97">
        <v>360</v>
      </c>
      <c r="J31" s="98">
        <v>16.2</v>
      </c>
    </row>
    <row r="32" spans="1:10" x14ac:dyDescent="0.2">
      <c r="A32" s="10" t="s">
        <v>519</v>
      </c>
      <c r="B32" s="16" t="s">
        <v>520</v>
      </c>
      <c r="C32" s="16" t="s">
        <v>476</v>
      </c>
      <c r="D32" s="14">
        <v>1727</v>
      </c>
      <c r="E32" s="97">
        <v>116</v>
      </c>
      <c r="F32" s="98">
        <v>6.7</v>
      </c>
      <c r="G32" s="97">
        <v>141</v>
      </c>
      <c r="H32" s="98">
        <v>8.1999999999999993</v>
      </c>
      <c r="I32" s="97">
        <v>257</v>
      </c>
      <c r="J32" s="98">
        <v>14.9</v>
      </c>
    </row>
    <row r="33" spans="1:10" s="23" customFormat="1" ht="15.75" x14ac:dyDescent="0.25">
      <c r="A33" s="21" t="s">
        <v>521</v>
      </c>
      <c r="B33" s="93" t="s">
        <v>522</v>
      </c>
      <c r="C33" s="93" t="s">
        <v>491</v>
      </c>
      <c r="D33" s="22">
        <v>32180</v>
      </c>
      <c r="E33" s="101">
        <v>4370</v>
      </c>
      <c r="F33" s="102">
        <v>13.6</v>
      </c>
      <c r="G33" s="101">
        <v>10475</v>
      </c>
      <c r="H33" s="102">
        <v>32.6</v>
      </c>
      <c r="I33" s="101">
        <v>14845</v>
      </c>
      <c r="J33" s="102">
        <v>46.1</v>
      </c>
    </row>
    <row r="34" spans="1:10" x14ac:dyDescent="0.2">
      <c r="A34" s="10" t="s">
        <v>523</v>
      </c>
      <c r="B34" s="16" t="s">
        <v>524</v>
      </c>
      <c r="C34" s="16" t="s">
        <v>494</v>
      </c>
      <c r="D34" s="14">
        <v>3632</v>
      </c>
      <c r="E34" s="97">
        <v>459</v>
      </c>
      <c r="F34" s="98">
        <v>12.6</v>
      </c>
      <c r="G34" s="97">
        <v>1380</v>
      </c>
      <c r="H34" s="98">
        <v>38</v>
      </c>
      <c r="I34" s="97">
        <v>1839</v>
      </c>
      <c r="J34" s="98">
        <v>50.6</v>
      </c>
    </row>
    <row r="35" spans="1:10" x14ac:dyDescent="0.2">
      <c r="A35" s="10" t="s">
        <v>525</v>
      </c>
      <c r="B35" s="16" t="s">
        <v>526</v>
      </c>
      <c r="C35" s="16" t="s">
        <v>494</v>
      </c>
      <c r="D35" s="14">
        <v>2060</v>
      </c>
      <c r="E35" s="97">
        <v>306</v>
      </c>
      <c r="F35" s="98">
        <v>14.9</v>
      </c>
      <c r="G35" s="97">
        <v>491</v>
      </c>
      <c r="H35" s="98">
        <v>23.8</v>
      </c>
      <c r="I35" s="97">
        <v>797</v>
      </c>
      <c r="J35" s="98">
        <v>38.700000000000003</v>
      </c>
    </row>
    <row r="36" spans="1:10" x14ac:dyDescent="0.2">
      <c r="A36" s="10" t="s">
        <v>527</v>
      </c>
      <c r="B36" s="16" t="s">
        <v>528</v>
      </c>
      <c r="C36" s="16" t="s">
        <v>494</v>
      </c>
      <c r="D36" s="14">
        <v>6783</v>
      </c>
      <c r="E36" s="97">
        <v>1019</v>
      </c>
      <c r="F36" s="98">
        <v>15</v>
      </c>
      <c r="G36" s="97">
        <v>3439</v>
      </c>
      <c r="H36" s="98">
        <v>50.7</v>
      </c>
      <c r="I36" s="97">
        <v>4458</v>
      </c>
      <c r="J36" s="98">
        <v>65.7</v>
      </c>
    </row>
    <row r="37" spans="1:10" x14ac:dyDescent="0.2">
      <c r="A37" s="10" t="s">
        <v>529</v>
      </c>
      <c r="B37" s="16" t="s">
        <v>530</v>
      </c>
      <c r="C37" s="16" t="s">
        <v>494</v>
      </c>
      <c r="D37" s="14">
        <v>3158</v>
      </c>
      <c r="E37" s="97">
        <v>591</v>
      </c>
      <c r="F37" s="98">
        <v>18.7</v>
      </c>
      <c r="G37" s="97">
        <v>990</v>
      </c>
      <c r="H37" s="98">
        <v>31.3</v>
      </c>
      <c r="I37" s="97">
        <v>1581</v>
      </c>
      <c r="J37" s="98">
        <v>50.1</v>
      </c>
    </row>
    <row r="38" spans="1:10" x14ac:dyDescent="0.2">
      <c r="A38" s="10" t="s">
        <v>531</v>
      </c>
      <c r="B38" s="16" t="s">
        <v>532</v>
      </c>
      <c r="C38" s="16" t="s">
        <v>494</v>
      </c>
      <c r="D38" s="14">
        <v>2694</v>
      </c>
      <c r="E38" s="97">
        <v>396</v>
      </c>
      <c r="F38" s="98">
        <v>14.7</v>
      </c>
      <c r="G38" s="97">
        <v>840</v>
      </c>
      <c r="H38" s="98">
        <v>31.2</v>
      </c>
      <c r="I38" s="97">
        <v>1236</v>
      </c>
      <c r="J38" s="98">
        <v>45.9</v>
      </c>
    </row>
    <row r="39" spans="1:10" x14ac:dyDescent="0.2">
      <c r="A39" s="10" t="s">
        <v>533</v>
      </c>
      <c r="B39" s="16" t="s">
        <v>534</v>
      </c>
      <c r="C39" s="16" t="s">
        <v>494</v>
      </c>
      <c r="D39" s="14">
        <v>3347</v>
      </c>
      <c r="E39" s="97">
        <v>503</v>
      </c>
      <c r="F39" s="98">
        <v>15</v>
      </c>
      <c r="G39" s="97">
        <v>1244</v>
      </c>
      <c r="H39" s="98">
        <v>37.200000000000003</v>
      </c>
      <c r="I39" s="97">
        <v>1747</v>
      </c>
      <c r="J39" s="98">
        <v>52.2</v>
      </c>
    </row>
    <row r="40" spans="1:10" x14ac:dyDescent="0.2">
      <c r="A40" s="10" t="s">
        <v>535</v>
      </c>
      <c r="B40" s="16" t="s">
        <v>536</v>
      </c>
      <c r="C40" s="16" t="s">
        <v>494</v>
      </c>
      <c r="D40" s="14">
        <v>2766</v>
      </c>
      <c r="E40" s="97">
        <v>323</v>
      </c>
      <c r="F40" s="98">
        <v>11.7</v>
      </c>
      <c r="G40" s="97">
        <v>452</v>
      </c>
      <c r="H40" s="98">
        <v>16.3</v>
      </c>
      <c r="I40" s="97">
        <v>775</v>
      </c>
      <c r="J40" s="98">
        <v>28</v>
      </c>
    </row>
    <row r="41" spans="1:10" x14ac:dyDescent="0.2">
      <c r="A41" s="10" t="s">
        <v>537</v>
      </c>
      <c r="B41" s="16" t="s">
        <v>538</v>
      </c>
      <c r="C41" s="16" t="s">
        <v>494</v>
      </c>
      <c r="D41" s="14">
        <v>2439</v>
      </c>
      <c r="E41" s="97">
        <v>245</v>
      </c>
      <c r="F41" s="98">
        <v>10</v>
      </c>
      <c r="G41" s="97">
        <v>623</v>
      </c>
      <c r="H41" s="98">
        <v>25.5</v>
      </c>
      <c r="I41" s="97">
        <v>868</v>
      </c>
      <c r="J41" s="98">
        <v>35.6</v>
      </c>
    </row>
    <row r="42" spans="1:10" x14ac:dyDescent="0.2">
      <c r="A42" s="10" t="s">
        <v>539</v>
      </c>
      <c r="B42" s="16" t="s">
        <v>540</v>
      </c>
      <c r="C42" s="16" t="s">
        <v>494</v>
      </c>
      <c r="D42" s="14">
        <v>2083</v>
      </c>
      <c r="E42" s="97">
        <v>308</v>
      </c>
      <c r="F42" s="98">
        <v>14.8</v>
      </c>
      <c r="G42" s="97">
        <v>416</v>
      </c>
      <c r="H42" s="98">
        <v>20</v>
      </c>
      <c r="I42" s="97">
        <v>724</v>
      </c>
      <c r="J42" s="98">
        <v>34.799999999999997</v>
      </c>
    </row>
    <row r="43" spans="1:10" x14ac:dyDescent="0.2">
      <c r="A43" s="10" t="s">
        <v>541</v>
      </c>
      <c r="B43" s="16" t="s">
        <v>542</v>
      </c>
      <c r="C43" s="16" t="s">
        <v>494</v>
      </c>
      <c r="D43" s="14">
        <v>3218</v>
      </c>
      <c r="E43" s="97">
        <v>220</v>
      </c>
      <c r="F43" s="98">
        <v>6.8</v>
      </c>
      <c r="G43" s="97">
        <v>600</v>
      </c>
      <c r="H43" s="98">
        <v>18.600000000000001</v>
      </c>
      <c r="I43" s="97">
        <v>820</v>
      </c>
      <c r="J43" s="98">
        <v>25.5</v>
      </c>
    </row>
    <row r="44" spans="1:10" s="23" customFormat="1" ht="15.75" x14ac:dyDescent="0.25">
      <c r="A44" s="21" t="s">
        <v>543</v>
      </c>
      <c r="B44" s="93" t="s">
        <v>544</v>
      </c>
      <c r="C44" s="93" t="s">
        <v>545</v>
      </c>
      <c r="D44" s="22">
        <v>11490</v>
      </c>
      <c r="E44" s="101">
        <v>1219</v>
      </c>
      <c r="F44" s="102">
        <v>10.6</v>
      </c>
      <c r="G44" s="101">
        <v>1885</v>
      </c>
      <c r="H44" s="102">
        <v>16.399999999999999</v>
      </c>
      <c r="I44" s="101">
        <v>3104</v>
      </c>
      <c r="J44" s="102">
        <v>27</v>
      </c>
    </row>
    <row r="45" spans="1:10" x14ac:dyDescent="0.2">
      <c r="A45" s="10" t="s">
        <v>546</v>
      </c>
      <c r="B45" s="16" t="s">
        <v>547</v>
      </c>
      <c r="C45" s="16" t="s">
        <v>548</v>
      </c>
      <c r="D45" s="14">
        <v>1073</v>
      </c>
      <c r="E45" s="97">
        <v>153</v>
      </c>
      <c r="F45" s="98">
        <v>14.3</v>
      </c>
      <c r="G45" s="97">
        <v>263</v>
      </c>
      <c r="H45" s="98">
        <v>24.5</v>
      </c>
      <c r="I45" s="97">
        <v>416</v>
      </c>
      <c r="J45" s="98">
        <v>38.799999999999997</v>
      </c>
    </row>
    <row r="46" spans="1:10" x14ac:dyDescent="0.2">
      <c r="A46" s="10" t="s">
        <v>549</v>
      </c>
      <c r="B46" s="16" t="s">
        <v>550</v>
      </c>
      <c r="C46" s="16" t="s">
        <v>548</v>
      </c>
      <c r="D46" s="14">
        <v>947</v>
      </c>
      <c r="E46" s="97">
        <v>72</v>
      </c>
      <c r="F46" s="98">
        <v>7.6</v>
      </c>
      <c r="G46" s="97">
        <v>80</v>
      </c>
      <c r="H46" s="98">
        <v>8.4</v>
      </c>
      <c r="I46" s="97">
        <v>152</v>
      </c>
      <c r="J46" s="98">
        <v>16.100000000000001</v>
      </c>
    </row>
    <row r="47" spans="1:10" x14ac:dyDescent="0.2">
      <c r="A47" s="10" t="s">
        <v>551</v>
      </c>
      <c r="B47" s="16" t="s">
        <v>552</v>
      </c>
      <c r="C47" s="16" t="s">
        <v>548</v>
      </c>
      <c r="D47" s="14">
        <v>552</v>
      </c>
      <c r="E47" s="97">
        <v>64</v>
      </c>
      <c r="F47" s="98">
        <v>11.6</v>
      </c>
      <c r="G47" s="97">
        <v>41</v>
      </c>
      <c r="H47" s="98">
        <v>7.4</v>
      </c>
      <c r="I47" s="97">
        <v>105</v>
      </c>
      <c r="J47" s="98">
        <v>19</v>
      </c>
    </row>
    <row r="48" spans="1:10" x14ac:dyDescent="0.2">
      <c r="A48" s="10" t="s">
        <v>553</v>
      </c>
      <c r="B48" s="16" t="s">
        <v>554</v>
      </c>
      <c r="C48" s="16" t="s">
        <v>548</v>
      </c>
      <c r="D48" s="14">
        <v>966</v>
      </c>
      <c r="E48" s="97">
        <v>154</v>
      </c>
      <c r="F48" s="98">
        <v>15.9</v>
      </c>
      <c r="G48" s="97">
        <v>132</v>
      </c>
      <c r="H48" s="98">
        <v>13.7</v>
      </c>
      <c r="I48" s="97">
        <v>286</v>
      </c>
      <c r="J48" s="98">
        <v>29.6</v>
      </c>
    </row>
    <row r="49" spans="1:10" x14ac:dyDescent="0.2">
      <c r="A49" s="10" t="s">
        <v>555</v>
      </c>
      <c r="B49" s="16" t="s">
        <v>556</v>
      </c>
      <c r="C49" s="16" t="s">
        <v>548</v>
      </c>
      <c r="D49" s="14">
        <v>1073</v>
      </c>
      <c r="E49" s="97">
        <v>74</v>
      </c>
      <c r="F49" s="98">
        <v>6.9</v>
      </c>
      <c r="G49" s="97">
        <v>130</v>
      </c>
      <c r="H49" s="98">
        <v>12.1</v>
      </c>
      <c r="I49" s="97">
        <v>204</v>
      </c>
      <c r="J49" s="98">
        <v>19</v>
      </c>
    </row>
    <row r="50" spans="1:10" x14ac:dyDescent="0.2">
      <c r="A50" s="10" t="s">
        <v>557</v>
      </c>
      <c r="B50" s="16" t="s">
        <v>558</v>
      </c>
      <c r="C50" s="16" t="s">
        <v>548</v>
      </c>
      <c r="D50" s="14">
        <v>1185</v>
      </c>
      <c r="E50" s="97">
        <v>251</v>
      </c>
      <c r="F50" s="98">
        <v>21.2</v>
      </c>
      <c r="G50" s="97">
        <v>317</v>
      </c>
      <c r="H50" s="98">
        <v>26.8</v>
      </c>
      <c r="I50" s="97">
        <v>568</v>
      </c>
      <c r="J50" s="98">
        <v>47.9</v>
      </c>
    </row>
    <row r="51" spans="1:10" x14ac:dyDescent="0.2">
      <c r="A51" s="10" t="s">
        <v>559</v>
      </c>
      <c r="B51" s="16" t="s">
        <v>560</v>
      </c>
      <c r="C51" s="16" t="s">
        <v>548</v>
      </c>
      <c r="D51" s="14">
        <v>1921</v>
      </c>
      <c r="E51" s="97">
        <v>185</v>
      </c>
      <c r="F51" s="98">
        <v>9.6</v>
      </c>
      <c r="G51" s="97">
        <v>692</v>
      </c>
      <c r="H51" s="98">
        <v>36</v>
      </c>
      <c r="I51" s="97">
        <v>877</v>
      </c>
      <c r="J51" s="98">
        <v>45.7</v>
      </c>
    </row>
    <row r="52" spans="1:10" x14ac:dyDescent="0.2">
      <c r="A52" s="10" t="s">
        <v>561</v>
      </c>
      <c r="B52" s="16" t="s">
        <v>562</v>
      </c>
      <c r="C52" s="16" t="s">
        <v>548</v>
      </c>
      <c r="D52" s="14">
        <v>469</v>
      </c>
      <c r="E52" s="97">
        <v>42</v>
      </c>
      <c r="F52" s="98">
        <v>9</v>
      </c>
      <c r="G52" s="97">
        <v>9</v>
      </c>
      <c r="H52" s="98">
        <v>1.9</v>
      </c>
      <c r="I52" s="97">
        <v>51</v>
      </c>
      <c r="J52" s="98">
        <v>10.9</v>
      </c>
    </row>
    <row r="53" spans="1:10" x14ac:dyDescent="0.2">
      <c r="A53" s="10" t="s">
        <v>563</v>
      </c>
      <c r="B53" s="16" t="s">
        <v>564</v>
      </c>
      <c r="C53" s="16" t="s">
        <v>548</v>
      </c>
      <c r="D53" s="14">
        <v>625</v>
      </c>
      <c r="E53" s="97">
        <v>55</v>
      </c>
      <c r="F53" s="98">
        <v>8.8000000000000007</v>
      </c>
      <c r="G53" s="97">
        <v>58</v>
      </c>
      <c r="H53" s="98">
        <v>9.3000000000000007</v>
      </c>
      <c r="I53" s="97">
        <v>113</v>
      </c>
      <c r="J53" s="98">
        <v>18.100000000000001</v>
      </c>
    </row>
    <row r="54" spans="1:10" x14ac:dyDescent="0.2">
      <c r="A54" s="10" t="s">
        <v>565</v>
      </c>
      <c r="B54" s="16" t="s">
        <v>566</v>
      </c>
      <c r="C54" s="16" t="s">
        <v>548</v>
      </c>
      <c r="D54" s="14">
        <v>933</v>
      </c>
      <c r="E54" s="97">
        <v>59</v>
      </c>
      <c r="F54" s="98">
        <v>6.3</v>
      </c>
      <c r="G54" s="97">
        <v>76</v>
      </c>
      <c r="H54" s="98">
        <v>8.1</v>
      </c>
      <c r="I54" s="97">
        <v>135</v>
      </c>
      <c r="J54" s="98">
        <v>14.5</v>
      </c>
    </row>
    <row r="55" spans="1:10" x14ac:dyDescent="0.2">
      <c r="A55" s="10" t="s">
        <v>567</v>
      </c>
      <c r="B55" s="16" t="s">
        <v>568</v>
      </c>
      <c r="C55" s="16" t="s">
        <v>548</v>
      </c>
      <c r="D55" s="14">
        <v>927</v>
      </c>
      <c r="E55" s="97">
        <v>70</v>
      </c>
      <c r="F55" s="98">
        <v>7.6</v>
      </c>
      <c r="G55" s="97">
        <v>63</v>
      </c>
      <c r="H55" s="98">
        <v>6.8</v>
      </c>
      <c r="I55" s="97">
        <v>133</v>
      </c>
      <c r="J55" s="98">
        <v>14.3</v>
      </c>
    </row>
    <row r="56" spans="1:10" x14ac:dyDescent="0.2">
      <c r="A56" s="10" t="s">
        <v>569</v>
      </c>
      <c r="B56" s="16" t="s">
        <v>570</v>
      </c>
      <c r="C56" s="16" t="s">
        <v>548</v>
      </c>
      <c r="D56" s="14">
        <v>819</v>
      </c>
      <c r="E56" s="97">
        <v>40</v>
      </c>
      <c r="F56" s="98">
        <v>4.9000000000000004</v>
      </c>
      <c r="G56" s="97">
        <v>24</v>
      </c>
      <c r="H56" s="98">
        <v>2.9</v>
      </c>
      <c r="I56" s="97">
        <v>64</v>
      </c>
      <c r="J56" s="98">
        <v>7.8</v>
      </c>
    </row>
    <row r="57" spans="1:10" s="23" customFormat="1" ht="15.75" x14ac:dyDescent="0.25">
      <c r="A57" s="21" t="s">
        <v>571</v>
      </c>
      <c r="B57" s="93" t="s">
        <v>572</v>
      </c>
      <c r="C57" s="93" t="s">
        <v>491</v>
      </c>
      <c r="D57" s="22">
        <v>13301</v>
      </c>
      <c r="E57" s="101">
        <v>973</v>
      </c>
      <c r="F57" s="102">
        <v>7.3</v>
      </c>
      <c r="G57" s="101">
        <v>2730</v>
      </c>
      <c r="H57" s="102">
        <v>20.5</v>
      </c>
      <c r="I57" s="101">
        <v>3703</v>
      </c>
      <c r="J57" s="102">
        <v>27.8</v>
      </c>
    </row>
    <row r="58" spans="1:10" x14ac:dyDescent="0.2">
      <c r="A58" s="10" t="s">
        <v>573</v>
      </c>
      <c r="B58" s="16" t="s">
        <v>574</v>
      </c>
      <c r="C58" s="16" t="s">
        <v>494</v>
      </c>
      <c r="D58" s="14">
        <v>1768</v>
      </c>
      <c r="E58" s="97">
        <v>114</v>
      </c>
      <c r="F58" s="98">
        <v>6.4</v>
      </c>
      <c r="G58" s="97">
        <v>232</v>
      </c>
      <c r="H58" s="98">
        <v>13.1</v>
      </c>
      <c r="I58" s="97">
        <v>346</v>
      </c>
      <c r="J58" s="98">
        <v>19.600000000000001</v>
      </c>
    </row>
    <row r="59" spans="1:10" x14ac:dyDescent="0.2">
      <c r="A59" s="10" t="s">
        <v>575</v>
      </c>
      <c r="B59" s="16" t="s">
        <v>576</v>
      </c>
      <c r="C59" s="16" t="s">
        <v>494</v>
      </c>
      <c r="D59" s="14">
        <v>4928</v>
      </c>
      <c r="E59" s="97">
        <v>419</v>
      </c>
      <c r="F59" s="98">
        <v>8.5</v>
      </c>
      <c r="G59" s="97">
        <v>1671</v>
      </c>
      <c r="H59" s="98">
        <v>33.9</v>
      </c>
      <c r="I59" s="97">
        <v>2090</v>
      </c>
      <c r="J59" s="98">
        <v>42.4</v>
      </c>
    </row>
    <row r="60" spans="1:10" x14ac:dyDescent="0.2">
      <c r="A60" s="10" t="s">
        <v>577</v>
      </c>
      <c r="B60" s="16" t="s">
        <v>578</v>
      </c>
      <c r="C60" s="16" t="s">
        <v>494</v>
      </c>
      <c r="D60" s="14">
        <v>2340</v>
      </c>
      <c r="E60" s="97">
        <v>147</v>
      </c>
      <c r="F60" s="98">
        <v>6.3</v>
      </c>
      <c r="G60" s="97">
        <v>320</v>
      </c>
      <c r="H60" s="98">
        <v>13.7</v>
      </c>
      <c r="I60" s="97">
        <v>467</v>
      </c>
      <c r="J60" s="98">
        <v>20</v>
      </c>
    </row>
    <row r="61" spans="1:10" x14ac:dyDescent="0.2">
      <c r="A61" s="10" t="s">
        <v>579</v>
      </c>
      <c r="B61" s="16" t="s">
        <v>580</v>
      </c>
      <c r="C61" s="16" t="s">
        <v>494</v>
      </c>
      <c r="D61" s="14">
        <v>1631</v>
      </c>
      <c r="E61" s="97">
        <v>91</v>
      </c>
      <c r="F61" s="98">
        <v>5.6</v>
      </c>
      <c r="G61" s="97">
        <v>206</v>
      </c>
      <c r="H61" s="98">
        <v>12.6</v>
      </c>
      <c r="I61" s="97">
        <v>297</v>
      </c>
      <c r="J61" s="98">
        <v>18.2</v>
      </c>
    </row>
    <row r="62" spans="1:10" x14ac:dyDescent="0.2">
      <c r="A62" s="10" t="s">
        <v>581</v>
      </c>
      <c r="B62" s="16" t="s">
        <v>582</v>
      </c>
      <c r="C62" s="16" t="s">
        <v>494</v>
      </c>
      <c r="D62" s="14">
        <v>2634</v>
      </c>
      <c r="E62" s="97">
        <v>202</v>
      </c>
      <c r="F62" s="98">
        <v>7.7</v>
      </c>
      <c r="G62" s="97">
        <v>301</v>
      </c>
      <c r="H62" s="98">
        <v>11.4</v>
      </c>
      <c r="I62" s="97">
        <v>503</v>
      </c>
      <c r="J62" s="98">
        <v>19.100000000000001</v>
      </c>
    </row>
    <row r="63" spans="1:10" s="23" customFormat="1" ht="15.75" x14ac:dyDescent="0.25">
      <c r="A63" s="21" t="s">
        <v>583</v>
      </c>
      <c r="B63" s="93" t="s">
        <v>584</v>
      </c>
      <c r="C63" s="93" t="s">
        <v>473</v>
      </c>
      <c r="D63" s="22">
        <v>53664</v>
      </c>
      <c r="E63" s="101">
        <v>6483</v>
      </c>
      <c r="F63" s="102">
        <v>12.1</v>
      </c>
      <c r="G63" s="101">
        <v>11607</v>
      </c>
      <c r="H63" s="102">
        <v>21.6</v>
      </c>
      <c r="I63" s="101">
        <v>18090</v>
      </c>
      <c r="J63" s="102">
        <v>33.700000000000003</v>
      </c>
    </row>
    <row r="64" spans="1:10" x14ac:dyDescent="0.2">
      <c r="A64" s="10" t="s">
        <v>585</v>
      </c>
      <c r="B64" s="16" t="s">
        <v>586</v>
      </c>
      <c r="C64" s="16" t="s">
        <v>476</v>
      </c>
      <c r="D64" s="14">
        <v>2526</v>
      </c>
      <c r="E64" s="97">
        <v>188</v>
      </c>
      <c r="F64" s="98">
        <v>7.4</v>
      </c>
      <c r="G64" s="97">
        <v>162</v>
      </c>
      <c r="H64" s="98">
        <v>6.4</v>
      </c>
      <c r="I64" s="97">
        <v>350</v>
      </c>
      <c r="J64" s="98">
        <v>13.9</v>
      </c>
    </row>
    <row r="65" spans="1:10" x14ac:dyDescent="0.2">
      <c r="A65" s="10" t="s">
        <v>587</v>
      </c>
      <c r="B65" s="16" t="s">
        <v>588</v>
      </c>
      <c r="C65" s="16" t="s">
        <v>476</v>
      </c>
      <c r="D65" s="14">
        <v>2845</v>
      </c>
      <c r="E65" s="97">
        <v>189</v>
      </c>
      <c r="F65" s="98">
        <v>6.6</v>
      </c>
      <c r="G65" s="97">
        <v>809</v>
      </c>
      <c r="H65" s="98">
        <v>28.4</v>
      </c>
      <c r="I65" s="97">
        <v>998</v>
      </c>
      <c r="J65" s="98">
        <v>35.1</v>
      </c>
    </row>
    <row r="66" spans="1:10" x14ac:dyDescent="0.2">
      <c r="A66" s="10" t="s">
        <v>589</v>
      </c>
      <c r="B66" s="16" t="s">
        <v>590</v>
      </c>
      <c r="C66" s="16" t="s">
        <v>476</v>
      </c>
      <c r="D66" s="14">
        <v>1431</v>
      </c>
      <c r="E66" s="97">
        <v>91</v>
      </c>
      <c r="F66" s="98">
        <v>6.4</v>
      </c>
      <c r="G66" s="97">
        <v>183</v>
      </c>
      <c r="H66" s="98">
        <v>12.8</v>
      </c>
      <c r="I66" s="97">
        <v>274</v>
      </c>
      <c r="J66" s="98">
        <v>19.100000000000001</v>
      </c>
    </row>
    <row r="67" spans="1:10" x14ac:dyDescent="0.2">
      <c r="A67" s="10" t="s">
        <v>591</v>
      </c>
      <c r="B67" s="16" t="s">
        <v>592</v>
      </c>
      <c r="C67" s="16" t="s">
        <v>476</v>
      </c>
      <c r="D67" s="14">
        <v>1467</v>
      </c>
      <c r="E67" s="97">
        <v>120</v>
      </c>
      <c r="F67" s="98">
        <v>8.1999999999999993</v>
      </c>
      <c r="G67" s="97">
        <v>307</v>
      </c>
      <c r="H67" s="98">
        <v>20.9</v>
      </c>
      <c r="I67" s="97">
        <v>427</v>
      </c>
      <c r="J67" s="98">
        <v>29.1</v>
      </c>
    </row>
    <row r="68" spans="1:10" x14ac:dyDescent="0.2">
      <c r="A68" s="10" t="s">
        <v>593</v>
      </c>
      <c r="B68" s="16" t="s">
        <v>594</v>
      </c>
      <c r="C68" s="16" t="s">
        <v>476</v>
      </c>
      <c r="D68" s="14">
        <v>1438</v>
      </c>
      <c r="E68" s="97">
        <v>166</v>
      </c>
      <c r="F68" s="98">
        <v>11.5</v>
      </c>
      <c r="G68" s="97">
        <v>208</v>
      </c>
      <c r="H68" s="98">
        <v>14.5</v>
      </c>
      <c r="I68" s="97">
        <v>374</v>
      </c>
      <c r="J68" s="98">
        <v>26</v>
      </c>
    </row>
    <row r="69" spans="1:10" x14ac:dyDescent="0.2">
      <c r="A69" s="10" t="s">
        <v>595</v>
      </c>
      <c r="B69" s="16" t="s">
        <v>596</v>
      </c>
      <c r="C69" s="16" t="s">
        <v>476</v>
      </c>
      <c r="D69" s="14">
        <v>4709</v>
      </c>
      <c r="E69" s="97">
        <v>433</v>
      </c>
      <c r="F69" s="98">
        <v>9.1999999999999993</v>
      </c>
      <c r="G69" s="97">
        <v>392</v>
      </c>
      <c r="H69" s="98">
        <v>8.3000000000000007</v>
      </c>
      <c r="I69" s="97">
        <v>825</v>
      </c>
      <c r="J69" s="98">
        <v>17.5</v>
      </c>
    </row>
    <row r="70" spans="1:10" s="23" customFormat="1" ht="15.75" x14ac:dyDescent="0.25">
      <c r="A70" s="21" t="s">
        <v>597</v>
      </c>
      <c r="B70" s="93" t="s">
        <v>598</v>
      </c>
      <c r="C70" s="93" t="s">
        <v>491</v>
      </c>
      <c r="D70" s="22">
        <v>13841</v>
      </c>
      <c r="E70" s="101">
        <v>1393</v>
      </c>
      <c r="F70" s="102">
        <v>10.1</v>
      </c>
      <c r="G70" s="101">
        <v>3271</v>
      </c>
      <c r="H70" s="102">
        <v>23.6</v>
      </c>
      <c r="I70" s="101">
        <v>4664</v>
      </c>
      <c r="J70" s="102">
        <v>33.700000000000003</v>
      </c>
    </row>
    <row r="71" spans="1:10" x14ac:dyDescent="0.2">
      <c r="A71" s="10" t="s">
        <v>599</v>
      </c>
      <c r="B71" s="16" t="s">
        <v>600</v>
      </c>
      <c r="C71" s="16" t="s">
        <v>494</v>
      </c>
      <c r="D71" s="14">
        <v>2287</v>
      </c>
      <c r="E71" s="97">
        <v>126</v>
      </c>
      <c r="F71" s="98">
        <v>5.5</v>
      </c>
      <c r="G71" s="97">
        <v>299</v>
      </c>
      <c r="H71" s="98">
        <v>13.1</v>
      </c>
      <c r="I71" s="97">
        <v>425</v>
      </c>
      <c r="J71" s="98">
        <v>18.600000000000001</v>
      </c>
    </row>
    <row r="72" spans="1:10" x14ac:dyDescent="0.2">
      <c r="A72" s="10" t="s">
        <v>601</v>
      </c>
      <c r="B72" s="16" t="s">
        <v>602</v>
      </c>
      <c r="C72" s="16" t="s">
        <v>494</v>
      </c>
      <c r="D72" s="14">
        <v>3145</v>
      </c>
      <c r="E72" s="97">
        <v>237</v>
      </c>
      <c r="F72" s="98">
        <v>7.5</v>
      </c>
      <c r="G72" s="97">
        <v>738</v>
      </c>
      <c r="H72" s="98">
        <v>23.5</v>
      </c>
      <c r="I72" s="97">
        <v>975</v>
      </c>
      <c r="J72" s="98">
        <v>31</v>
      </c>
    </row>
    <row r="73" spans="1:10" x14ac:dyDescent="0.2">
      <c r="A73" s="10" t="s">
        <v>603</v>
      </c>
      <c r="B73" s="16" t="s">
        <v>604</v>
      </c>
      <c r="C73" s="16" t="s">
        <v>494</v>
      </c>
      <c r="D73" s="14">
        <v>2811</v>
      </c>
      <c r="E73" s="97">
        <v>260</v>
      </c>
      <c r="F73" s="98">
        <v>9.1999999999999993</v>
      </c>
      <c r="G73" s="97">
        <v>491</v>
      </c>
      <c r="H73" s="98">
        <v>17.5</v>
      </c>
      <c r="I73" s="97">
        <v>751</v>
      </c>
      <c r="J73" s="98">
        <v>26.7</v>
      </c>
    </row>
    <row r="74" spans="1:10" x14ac:dyDescent="0.2">
      <c r="A74" s="10" t="s">
        <v>605</v>
      </c>
      <c r="B74" s="16" t="s">
        <v>606</v>
      </c>
      <c r="C74" s="16" t="s">
        <v>494</v>
      </c>
      <c r="D74" s="14">
        <v>5598</v>
      </c>
      <c r="E74" s="97">
        <v>770</v>
      </c>
      <c r="F74" s="98">
        <v>13.8</v>
      </c>
      <c r="G74" s="97">
        <v>1743</v>
      </c>
      <c r="H74" s="98">
        <v>31.1</v>
      </c>
      <c r="I74" s="97">
        <v>2513</v>
      </c>
      <c r="J74" s="98">
        <v>44.9</v>
      </c>
    </row>
    <row r="75" spans="1:10" s="23" customFormat="1" ht="15.75" x14ac:dyDescent="0.25">
      <c r="A75" s="21" t="s">
        <v>607</v>
      </c>
      <c r="B75" s="93" t="s">
        <v>608</v>
      </c>
      <c r="C75" s="93" t="s">
        <v>491</v>
      </c>
      <c r="D75" s="22">
        <v>25407</v>
      </c>
      <c r="E75" s="101">
        <v>3903</v>
      </c>
      <c r="F75" s="102">
        <v>15.4</v>
      </c>
      <c r="G75" s="101">
        <v>6275</v>
      </c>
      <c r="H75" s="102">
        <v>24.7</v>
      </c>
      <c r="I75" s="101">
        <v>10178</v>
      </c>
      <c r="J75" s="102">
        <v>40.1</v>
      </c>
    </row>
    <row r="76" spans="1:10" x14ac:dyDescent="0.2">
      <c r="A76" s="10" t="s">
        <v>609</v>
      </c>
      <c r="B76" s="16" t="s">
        <v>610</v>
      </c>
      <c r="C76" s="16" t="s">
        <v>494</v>
      </c>
      <c r="D76" s="14">
        <v>6939</v>
      </c>
      <c r="E76" s="97">
        <v>1556</v>
      </c>
      <c r="F76" s="98">
        <v>22.4</v>
      </c>
      <c r="G76" s="97">
        <v>1938</v>
      </c>
      <c r="H76" s="98">
        <v>27.9</v>
      </c>
      <c r="I76" s="97">
        <v>3494</v>
      </c>
      <c r="J76" s="98">
        <v>50.4</v>
      </c>
    </row>
    <row r="77" spans="1:10" x14ac:dyDescent="0.2">
      <c r="A77" s="10" t="s">
        <v>611</v>
      </c>
      <c r="B77" s="16" t="s">
        <v>612</v>
      </c>
      <c r="C77" s="16" t="s">
        <v>494</v>
      </c>
      <c r="D77" s="14">
        <v>1964</v>
      </c>
      <c r="E77" s="97">
        <v>269</v>
      </c>
      <c r="F77" s="98">
        <v>13.7</v>
      </c>
      <c r="G77" s="97">
        <v>259</v>
      </c>
      <c r="H77" s="98">
        <v>13.2</v>
      </c>
      <c r="I77" s="97">
        <v>528</v>
      </c>
      <c r="J77" s="98">
        <v>26.9</v>
      </c>
    </row>
    <row r="78" spans="1:10" x14ac:dyDescent="0.2">
      <c r="A78" s="10" t="s">
        <v>613</v>
      </c>
      <c r="B78" s="16" t="s">
        <v>614</v>
      </c>
      <c r="C78" s="16" t="s">
        <v>494</v>
      </c>
      <c r="D78" s="14">
        <v>4509</v>
      </c>
      <c r="E78" s="97">
        <v>770</v>
      </c>
      <c r="F78" s="98">
        <v>17.100000000000001</v>
      </c>
      <c r="G78" s="97">
        <v>927</v>
      </c>
      <c r="H78" s="98">
        <v>20.6</v>
      </c>
      <c r="I78" s="97">
        <v>1697</v>
      </c>
      <c r="J78" s="98">
        <v>37.6</v>
      </c>
    </row>
    <row r="79" spans="1:10" x14ac:dyDescent="0.2">
      <c r="A79" s="10" t="s">
        <v>615</v>
      </c>
      <c r="B79" s="16" t="s">
        <v>616</v>
      </c>
      <c r="C79" s="16" t="s">
        <v>494</v>
      </c>
      <c r="D79" s="14">
        <v>8510</v>
      </c>
      <c r="E79" s="97">
        <v>1024</v>
      </c>
      <c r="F79" s="98">
        <v>12</v>
      </c>
      <c r="G79" s="97">
        <v>2548</v>
      </c>
      <c r="H79" s="98">
        <v>29.9</v>
      </c>
      <c r="I79" s="97">
        <v>3572</v>
      </c>
      <c r="J79" s="98">
        <v>42</v>
      </c>
    </row>
    <row r="80" spans="1:10" x14ac:dyDescent="0.2">
      <c r="A80" s="10" t="s">
        <v>617</v>
      </c>
      <c r="B80" s="16" t="s">
        <v>618</v>
      </c>
      <c r="C80" s="16" t="s">
        <v>494</v>
      </c>
      <c r="D80" s="14">
        <v>3485</v>
      </c>
      <c r="E80" s="97">
        <v>284</v>
      </c>
      <c r="F80" s="98">
        <v>8.1</v>
      </c>
      <c r="G80" s="97">
        <v>603</v>
      </c>
      <c r="H80" s="98">
        <v>17.3</v>
      </c>
      <c r="I80" s="97">
        <v>887</v>
      </c>
      <c r="J80" s="98">
        <v>25.5</v>
      </c>
    </row>
    <row r="81" spans="1:10" s="23" customFormat="1" ht="15.75" x14ac:dyDescent="0.25">
      <c r="A81" s="21" t="s">
        <v>619</v>
      </c>
      <c r="B81" s="93" t="s">
        <v>620</v>
      </c>
      <c r="C81" s="93" t="s">
        <v>473</v>
      </c>
      <c r="D81" s="22">
        <v>44958</v>
      </c>
      <c r="E81" s="101">
        <v>4462</v>
      </c>
      <c r="F81" s="102">
        <v>9.9</v>
      </c>
      <c r="G81" s="101">
        <v>11342</v>
      </c>
      <c r="H81" s="102">
        <v>25.2</v>
      </c>
      <c r="I81" s="101">
        <v>15804</v>
      </c>
      <c r="J81" s="102">
        <v>35.200000000000003</v>
      </c>
    </row>
    <row r="82" spans="1:10" x14ac:dyDescent="0.2">
      <c r="A82" s="10" t="s">
        <v>621</v>
      </c>
      <c r="B82" s="16" t="s">
        <v>622</v>
      </c>
      <c r="C82" s="16" t="s">
        <v>476</v>
      </c>
      <c r="D82" s="14">
        <v>2933</v>
      </c>
      <c r="E82" s="97">
        <v>397</v>
      </c>
      <c r="F82" s="98">
        <v>13.5</v>
      </c>
      <c r="G82" s="97">
        <v>1184</v>
      </c>
      <c r="H82" s="98">
        <v>40.4</v>
      </c>
      <c r="I82" s="97">
        <v>1581</v>
      </c>
      <c r="J82" s="98">
        <v>53.9</v>
      </c>
    </row>
    <row r="83" spans="1:10" x14ac:dyDescent="0.2">
      <c r="A83" s="10" t="s">
        <v>623</v>
      </c>
      <c r="B83" s="16" t="s">
        <v>624</v>
      </c>
      <c r="C83" s="16" t="s">
        <v>476</v>
      </c>
      <c r="D83" s="14">
        <v>4454</v>
      </c>
      <c r="E83" s="97">
        <v>537</v>
      </c>
      <c r="F83" s="98">
        <v>12.1</v>
      </c>
      <c r="G83" s="97">
        <v>2686</v>
      </c>
      <c r="H83" s="98">
        <v>60.3</v>
      </c>
      <c r="I83" s="97">
        <v>3223</v>
      </c>
      <c r="J83" s="98">
        <v>72.400000000000006</v>
      </c>
    </row>
    <row r="84" spans="1:10" x14ac:dyDescent="0.2">
      <c r="A84" s="10" t="s">
        <v>625</v>
      </c>
      <c r="B84" s="16" t="s">
        <v>626</v>
      </c>
      <c r="C84" s="16" t="s">
        <v>476</v>
      </c>
      <c r="D84" s="14">
        <v>3296</v>
      </c>
      <c r="E84" s="97">
        <v>481</v>
      </c>
      <c r="F84" s="98">
        <v>14.6</v>
      </c>
      <c r="G84" s="97">
        <v>1477</v>
      </c>
      <c r="H84" s="98">
        <v>44.8</v>
      </c>
      <c r="I84" s="97">
        <v>1958</v>
      </c>
      <c r="J84" s="98">
        <v>59.4</v>
      </c>
    </row>
    <row r="85" spans="1:10" x14ac:dyDescent="0.2">
      <c r="A85" s="10" t="s">
        <v>627</v>
      </c>
      <c r="B85" s="16" t="s">
        <v>628</v>
      </c>
      <c r="C85" s="16" t="s">
        <v>476</v>
      </c>
      <c r="D85" s="14">
        <v>243</v>
      </c>
      <c r="E85" s="97">
        <v>33</v>
      </c>
      <c r="F85" s="98">
        <v>13.6</v>
      </c>
      <c r="G85" s="97">
        <v>18</v>
      </c>
      <c r="H85" s="98">
        <v>7.4</v>
      </c>
      <c r="I85" s="97">
        <v>51</v>
      </c>
      <c r="J85" s="98">
        <v>21</v>
      </c>
    </row>
    <row r="86" spans="1:10" x14ac:dyDescent="0.2">
      <c r="A86" s="10" t="s">
        <v>629</v>
      </c>
      <c r="B86" s="16" t="s">
        <v>630</v>
      </c>
      <c r="C86" s="16" t="s">
        <v>476</v>
      </c>
      <c r="D86" s="14">
        <v>3379</v>
      </c>
      <c r="E86" s="97">
        <v>335</v>
      </c>
      <c r="F86" s="98">
        <v>9.9</v>
      </c>
      <c r="G86" s="97">
        <v>902</v>
      </c>
      <c r="H86" s="98">
        <v>26.7</v>
      </c>
      <c r="I86" s="97">
        <v>1237</v>
      </c>
      <c r="J86" s="98">
        <v>36.6</v>
      </c>
    </row>
    <row r="87" spans="1:10" x14ac:dyDescent="0.2">
      <c r="A87" s="10" t="s">
        <v>631</v>
      </c>
      <c r="B87" s="16" t="s">
        <v>632</v>
      </c>
      <c r="C87" s="16" t="s">
        <v>476</v>
      </c>
      <c r="D87" s="14">
        <v>4249</v>
      </c>
      <c r="E87" s="97">
        <v>426</v>
      </c>
      <c r="F87" s="98">
        <v>10</v>
      </c>
      <c r="G87" s="97">
        <v>1489</v>
      </c>
      <c r="H87" s="98">
        <v>35</v>
      </c>
      <c r="I87" s="97">
        <v>1915</v>
      </c>
      <c r="J87" s="98">
        <v>45.1</v>
      </c>
    </row>
    <row r="88" spans="1:10" s="23" customFormat="1" ht="15.75" x14ac:dyDescent="0.25">
      <c r="A88" s="21" t="s">
        <v>633</v>
      </c>
      <c r="B88" s="93" t="s">
        <v>634</v>
      </c>
      <c r="C88" s="93" t="s">
        <v>545</v>
      </c>
      <c r="D88" s="22">
        <v>6901</v>
      </c>
      <c r="E88" s="101">
        <v>477</v>
      </c>
      <c r="F88" s="102">
        <v>6.9</v>
      </c>
      <c r="G88" s="101">
        <v>553</v>
      </c>
      <c r="H88" s="102">
        <v>8</v>
      </c>
      <c r="I88" s="101">
        <v>1030</v>
      </c>
      <c r="J88" s="102">
        <v>14.9</v>
      </c>
    </row>
    <row r="89" spans="1:10" x14ac:dyDescent="0.2">
      <c r="A89" s="10" t="s">
        <v>635</v>
      </c>
      <c r="B89" s="16" t="s">
        <v>636</v>
      </c>
      <c r="C89" s="16" t="s">
        <v>548</v>
      </c>
      <c r="D89" s="14">
        <v>1145</v>
      </c>
      <c r="E89" s="97">
        <v>73</v>
      </c>
      <c r="F89" s="98">
        <v>6.4</v>
      </c>
      <c r="G89" s="97">
        <v>73</v>
      </c>
      <c r="H89" s="98">
        <v>6.4</v>
      </c>
      <c r="I89" s="97">
        <v>146</v>
      </c>
      <c r="J89" s="98">
        <v>12.8</v>
      </c>
    </row>
    <row r="90" spans="1:10" x14ac:dyDescent="0.2">
      <c r="A90" s="10" t="s">
        <v>637</v>
      </c>
      <c r="B90" s="16" t="s">
        <v>638</v>
      </c>
      <c r="C90" s="16" t="s">
        <v>548</v>
      </c>
      <c r="D90" s="14">
        <v>774</v>
      </c>
      <c r="E90" s="97">
        <v>46</v>
      </c>
      <c r="F90" s="98">
        <v>5.9</v>
      </c>
      <c r="G90" s="97">
        <v>70</v>
      </c>
      <c r="H90" s="98">
        <v>9</v>
      </c>
      <c r="I90" s="97">
        <v>116</v>
      </c>
      <c r="J90" s="98">
        <v>15</v>
      </c>
    </row>
    <row r="91" spans="1:10" x14ac:dyDescent="0.2">
      <c r="A91" s="10" t="s">
        <v>639</v>
      </c>
      <c r="B91" s="16" t="s">
        <v>640</v>
      </c>
      <c r="C91" s="16" t="s">
        <v>548</v>
      </c>
      <c r="D91" s="14">
        <v>891</v>
      </c>
      <c r="E91" s="97">
        <v>56</v>
      </c>
      <c r="F91" s="98">
        <v>6.3</v>
      </c>
      <c r="G91" s="97">
        <v>107</v>
      </c>
      <c r="H91" s="98">
        <v>12</v>
      </c>
      <c r="I91" s="97">
        <v>163</v>
      </c>
      <c r="J91" s="98">
        <v>18.3</v>
      </c>
    </row>
    <row r="92" spans="1:10" x14ac:dyDescent="0.2">
      <c r="A92" s="10" t="s">
        <v>641</v>
      </c>
      <c r="B92" s="16" t="s">
        <v>642</v>
      </c>
      <c r="C92" s="16" t="s">
        <v>548</v>
      </c>
      <c r="D92" s="14">
        <v>421</v>
      </c>
      <c r="E92" s="97">
        <v>29</v>
      </c>
      <c r="F92" s="98">
        <v>6.9</v>
      </c>
      <c r="G92" s="97">
        <v>7</v>
      </c>
      <c r="H92" s="98">
        <v>1.7</v>
      </c>
      <c r="I92" s="97">
        <v>36</v>
      </c>
      <c r="J92" s="98">
        <v>8.6</v>
      </c>
    </row>
    <row r="93" spans="1:10" x14ac:dyDescent="0.2">
      <c r="A93" s="10" t="s">
        <v>643</v>
      </c>
      <c r="B93" s="16" t="s">
        <v>644</v>
      </c>
      <c r="C93" s="16" t="s">
        <v>548</v>
      </c>
      <c r="D93" s="14">
        <v>942</v>
      </c>
      <c r="E93" s="97">
        <v>67</v>
      </c>
      <c r="F93" s="98">
        <v>7.1</v>
      </c>
      <c r="G93" s="97">
        <v>96</v>
      </c>
      <c r="H93" s="98">
        <v>10.199999999999999</v>
      </c>
      <c r="I93" s="97">
        <v>163</v>
      </c>
      <c r="J93" s="98">
        <v>17.3</v>
      </c>
    </row>
    <row r="94" spans="1:10" x14ac:dyDescent="0.2">
      <c r="A94" s="10" t="s">
        <v>645</v>
      </c>
      <c r="B94" s="16" t="s">
        <v>646</v>
      </c>
      <c r="C94" s="16" t="s">
        <v>548</v>
      </c>
      <c r="D94" s="14">
        <v>671</v>
      </c>
      <c r="E94" s="97">
        <v>53</v>
      </c>
      <c r="F94" s="98">
        <v>7.9</v>
      </c>
      <c r="G94" s="97">
        <v>16</v>
      </c>
      <c r="H94" s="98">
        <v>2.4</v>
      </c>
      <c r="I94" s="97">
        <v>69</v>
      </c>
      <c r="J94" s="98">
        <v>10.3</v>
      </c>
    </row>
    <row r="95" spans="1:10" x14ac:dyDescent="0.2">
      <c r="A95" s="10" t="s">
        <v>647</v>
      </c>
      <c r="B95" s="16" t="s">
        <v>648</v>
      </c>
      <c r="C95" s="16" t="s">
        <v>548</v>
      </c>
      <c r="D95" s="14">
        <v>866</v>
      </c>
      <c r="E95" s="97">
        <v>55</v>
      </c>
      <c r="F95" s="98">
        <v>6.4</v>
      </c>
      <c r="G95" s="97">
        <v>49</v>
      </c>
      <c r="H95" s="98">
        <v>5.7</v>
      </c>
      <c r="I95" s="97">
        <v>104</v>
      </c>
      <c r="J95" s="98">
        <v>12</v>
      </c>
    </row>
    <row r="96" spans="1:10" x14ac:dyDescent="0.2">
      <c r="A96" s="10" t="s">
        <v>649</v>
      </c>
      <c r="B96" s="16" t="s">
        <v>650</v>
      </c>
      <c r="C96" s="16" t="s">
        <v>548</v>
      </c>
      <c r="D96" s="14">
        <v>1191</v>
      </c>
      <c r="E96" s="97">
        <v>98</v>
      </c>
      <c r="F96" s="98">
        <v>8.1999999999999993</v>
      </c>
      <c r="G96" s="97">
        <v>135</v>
      </c>
      <c r="H96" s="98">
        <v>11.3</v>
      </c>
      <c r="I96" s="97">
        <v>233</v>
      </c>
      <c r="J96" s="98">
        <v>19.600000000000001</v>
      </c>
    </row>
    <row r="97" spans="1:10" s="23" customFormat="1" ht="15.75" x14ac:dyDescent="0.25">
      <c r="A97" s="21" t="s">
        <v>651</v>
      </c>
      <c r="B97" s="93" t="s">
        <v>652</v>
      </c>
      <c r="C97" s="93" t="s">
        <v>545</v>
      </c>
      <c r="D97" s="22">
        <v>6312</v>
      </c>
      <c r="E97" s="101">
        <v>617</v>
      </c>
      <c r="F97" s="102">
        <v>9.8000000000000007</v>
      </c>
      <c r="G97" s="101">
        <v>892</v>
      </c>
      <c r="H97" s="102">
        <v>14.1</v>
      </c>
      <c r="I97" s="101">
        <v>1509</v>
      </c>
      <c r="J97" s="102">
        <v>23.9</v>
      </c>
    </row>
    <row r="98" spans="1:10" x14ac:dyDescent="0.2">
      <c r="A98" s="10" t="s">
        <v>653</v>
      </c>
      <c r="B98" s="16" t="s">
        <v>654</v>
      </c>
      <c r="C98" s="16" t="s">
        <v>548</v>
      </c>
      <c r="D98" s="14">
        <v>930</v>
      </c>
      <c r="E98" s="97">
        <v>86</v>
      </c>
      <c r="F98" s="98">
        <v>9.1999999999999993</v>
      </c>
      <c r="G98" s="97">
        <v>167</v>
      </c>
      <c r="H98" s="98">
        <v>18</v>
      </c>
      <c r="I98" s="97">
        <v>253</v>
      </c>
      <c r="J98" s="98">
        <v>27.2</v>
      </c>
    </row>
    <row r="99" spans="1:10" x14ac:dyDescent="0.2">
      <c r="A99" s="10" t="s">
        <v>655</v>
      </c>
      <c r="B99" s="16" t="s">
        <v>656</v>
      </c>
      <c r="C99" s="16" t="s">
        <v>548</v>
      </c>
      <c r="D99" s="14">
        <v>1533</v>
      </c>
      <c r="E99" s="97">
        <v>167</v>
      </c>
      <c r="F99" s="98">
        <v>10.9</v>
      </c>
      <c r="G99" s="97">
        <v>285</v>
      </c>
      <c r="H99" s="98">
        <v>18.600000000000001</v>
      </c>
      <c r="I99" s="97">
        <v>452</v>
      </c>
      <c r="J99" s="98">
        <v>29.5</v>
      </c>
    </row>
    <row r="100" spans="1:10" x14ac:dyDescent="0.2">
      <c r="A100" s="10" t="s">
        <v>657</v>
      </c>
      <c r="B100" s="16" t="s">
        <v>658</v>
      </c>
      <c r="C100" s="16" t="s">
        <v>548</v>
      </c>
      <c r="D100" s="14">
        <v>893</v>
      </c>
      <c r="E100" s="97">
        <v>101</v>
      </c>
      <c r="F100" s="98">
        <v>11.3</v>
      </c>
      <c r="G100" s="97">
        <v>63</v>
      </c>
      <c r="H100" s="98">
        <v>7.1</v>
      </c>
      <c r="I100" s="97">
        <v>164</v>
      </c>
      <c r="J100" s="98">
        <v>18.399999999999999</v>
      </c>
    </row>
    <row r="101" spans="1:10" x14ac:dyDescent="0.2">
      <c r="A101" s="10" t="s">
        <v>659</v>
      </c>
      <c r="B101" s="16" t="s">
        <v>660</v>
      </c>
      <c r="C101" s="16" t="s">
        <v>548</v>
      </c>
      <c r="D101" s="14">
        <v>1020</v>
      </c>
      <c r="E101" s="97">
        <v>81</v>
      </c>
      <c r="F101" s="98">
        <v>7.9</v>
      </c>
      <c r="G101" s="97">
        <v>104</v>
      </c>
      <c r="H101" s="98">
        <v>10.199999999999999</v>
      </c>
      <c r="I101" s="97">
        <v>185</v>
      </c>
      <c r="J101" s="98">
        <v>18.100000000000001</v>
      </c>
    </row>
    <row r="102" spans="1:10" x14ac:dyDescent="0.2">
      <c r="A102" s="10" t="s">
        <v>661</v>
      </c>
      <c r="B102" s="16" t="s">
        <v>662</v>
      </c>
      <c r="C102" s="16" t="s">
        <v>548</v>
      </c>
      <c r="D102" s="14">
        <v>392</v>
      </c>
      <c r="E102" s="97">
        <v>28</v>
      </c>
      <c r="F102" s="98">
        <v>7.1</v>
      </c>
      <c r="G102" s="97">
        <v>24</v>
      </c>
      <c r="H102" s="98">
        <v>6.1</v>
      </c>
      <c r="I102" s="97">
        <v>52</v>
      </c>
      <c r="J102" s="98">
        <v>13.3</v>
      </c>
    </row>
    <row r="103" spans="1:10" x14ac:dyDescent="0.2">
      <c r="A103" s="10" t="s">
        <v>663</v>
      </c>
      <c r="B103" s="16" t="s">
        <v>664</v>
      </c>
      <c r="C103" s="16" t="s">
        <v>548</v>
      </c>
      <c r="D103" s="14">
        <v>973</v>
      </c>
      <c r="E103" s="97">
        <v>73</v>
      </c>
      <c r="F103" s="98">
        <v>7.5</v>
      </c>
      <c r="G103" s="97">
        <v>87</v>
      </c>
      <c r="H103" s="98">
        <v>8.9</v>
      </c>
      <c r="I103" s="97">
        <v>160</v>
      </c>
      <c r="J103" s="98">
        <v>16.399999999999999</v>
      </c>
    </row>
    <row r="104" spans="1:10" x14ac:dyDescent="0.2">
      <c r="A104" s="10" t="s">
        <v>665</v>
      </c>
      <c r="B104" s="16" t="s">
        <v>666</v>
      </c>
      <c r="C104" s="16" t="s">
        <v>548</v>
      </c>
      <c r="D104" s="14">
        <v>571</v>
      </c>
      <c r="E104" s="97">
        <v>81</v>
      </c>
      <c r="F104" s="98">
        <v>14.2</v>
      </c>
      <c r="G104" s="97">
        <v>162</v>
      </c>
      <c r="H104" s="98">
        <v>28.4</v>
      </c>
      <c r="I104" s="97">
        <v>243</v>
      </c>
      <c r="J104" s="98">
        <v>42.6</v>
      </c>
    </row>
    <row r="105" spans="1:10" s="23" customFormat="1" ht="15.75" x14ac:dyDescent="0.25">
      <c r="A105" s="21" t="s">
        <v>667</v>
      </c>
      <c r="B105" s="93" t="s">
        <v>668</v>
      </c>
      <c r="C105" s="93" t="s">
        <v>545</v>
      </c>
      <c r="D105" s="22">
        <v>6004</v>
      </c>
      <c r="E105" s="101">
        <v>549</v>
      </c>
      <c r="F105" s="102">
        <v>9.1</v>
      </c>
      <c r="G105" s="101">
        <v>1014</v>
      </c>
      <c r="H105" s="102">
        <v>16.899999999999999</v>
      </c>
      <c r="I105" s="101">
        <v>1563</v>
      </c>
      <c r="J105" s="102">
        <v>26</v>
      </c>
    </row>
    <row r="106" spans="1:10" x14ac:dyDescent="0.2">
      <c r="A106" s="10" t="s">
        <v>669</v>
      </c>
      <c r="B106" s="16" t="s">
        <v>670</v>
      </c>
      <c r="C106" s="16" t="s">
        <v>548</v>
      </c>
      <c r="D106" s="14">
        <v>636</v>
      </c>
      <c r="E106" s="97">
        <v>75</v>
      </c>
      <c r="F106" s="98">
        <v>11.8</v>
      </c>
      <c r="G106" s="97">
        <v>220</v>
      </c>
      <c r="H106" s="98">
        <v>34.6</v>
      </c>
      <c r="I106" s="97">
        <v>295</v>
      </c>
      <c r="J106" s="98">
        <v>46.4</v>
      </c>
    </row>
    <row r="107" spans="1:10" x14ac:dyDescent="0.2">
      <c r="A107" s="10" t="s">
        <v>671</v>
      </c>
      <c r="B107" s="16" t="s">
        <v>672</v>
      </c>
      <c r="C107" s="16" t="s">
        <v>548</v>
      </c>
      <c r="D107" s="14">
        <v>901</v>
      </c>
      <c r="E107" s="97">
        <v>62</v>
      </c>
      <c r="F107" s="98">
        <v>6.9</v>
      </c>
      <c r="G107" s="97">
        <v>47</v>
      </c>
      <c r="H107" s="98">
        <v>5.2</v>
      </c>
      <c r="I107" s="97">
        <v>109</v>
      </c>
      <c r="J107" s="98">
        <v>12.1</v>
      </c>
    </row>
    <row r="108" spans="1:10" x14ac:dyDescent="0.2">
      <c r="A108" s="10" t="s">
        <v>673</v>
      </c>
      <c r="B108" s="16" t="s">
        <v>674</v>
      </c>
      <c r="C108" s="16" t="s">
        <v>548</v>
      </c>
      <c r="D108" s="14">
        <v>966</v>
      </c>
      <c r="E108" s="97">
        <v>85</v>
      </c>
      <c r="F108" s="98">
        <v>8.8000000000000007</v>
      </c>
      <c r="G108" s="97">
        <v>340</v>
      </c>
      <c r="H108" s="98">
        <v>35.200000000000003</v>
      </c>
      <c r="I108" s="97">
        <v>425</v>
      </c>
      <c r="J108" s="98">
        <v>44</v>
      </c>
    </row>
    <row r="109" spans="1:10" x14ac:dyDescent="0.2">
      <c r="A109" s="10" t="s">
        <v>675</v>
      </c>
      <c r="B109" s="16" t="s">
        <v>676</v>
      </c>
      <c r="C109" s="16" t="s">
        <v>548</v>
      </c>
      <c r="D109" s="14">
        <v>887</v>
      </c>
      <c r="E109" s="97">
        <v>91</v>
      </c>
      <c r="F109" s="98">
        <v>10.3</v>
      </c>
      <c r="G109" s="97">
        <v>66</v>
      </c>
      <c r="H109" s="98">
        <v>7.4</v>
      </c>
      <c r="I109" s="97">
        <v>157</v>
      </c>
      <c r="J109" s="98">
        <v>17.7</v>
      </c>
    </row>
    <row r="110" spans="1:10" x14ac:dyDescent="0.2">
      <c r="A110" s="10" t="s">
        <v>677</v>
      </c>
      <c r="B110" s="16" t="s">
        <v>678</v>
      </c>
      <c r="C110" s="16" t="s">
        <v>548</v>
      </c>
      <c r="D110" s="14">
        <v>763</v>
      </c>
      <c r="E110" s="97">
        <v>69</v>
      </c>
      <c r="F110" s="98">
        <v>9</v>
      </c>
      <c r="G110" s="97">
        <v>163</v>
      </c>
      <c r="H110" s="98">
        <v>21.4</v>
      </c>
      <c r="I110" s="97">
        <v>232</v>
      </c>
      <c r="J110" s="98">
        <v>30.4</v>
      </c>
    </row>
    <row r="111" spans="1:10" x14ac:dyDescent="0.2">
      <c r="A111" s="10" t="s">
        <v>679</v>
      </c>
      <c r="B111" s="16" t="s">
        <v>680</v>
      </c>
      <c r="C111" s="16" t="s">
        <v>548</v>
      </c>
      <c r="D111" s="14">
        <v>1120</v>
      </c>
      <c r="E111" s="97">
        <v>124</v>
      </c>
      <c r="F111" s="98">
        <v>11.1</v>
      </c>
      <c r="G111" s="97">
        <v>121</v>
      </c>
      <c r="H111" s="98">
        <v>10.8</v>
      </c>
      <c r="I111" s="97">
        <v>245</v>
      </c>
      <c r="J111" s="98">
        <v>21.9</v>
      </c>
    </row>
    <row r="112" spans="1:10" x14ac:dyDescent="0.2">
      <c r="A112" s="10" t="s">
        <v>681</v>
      </c>
      <c r="B112" s="16" t="s">
        <v>682</v>
      </c>
      <c r="C112" s="16" t="s">
        <v>548</v>
      </c>
      <c r="D112" s="14">
        <v>731</v>
      </c>
      <c r="E112" s="97">
        <v>43</v>
      </c>
      <c r="F112" s="98">
        <v>5.9</v>
      </c>
      <c r="G112" s="97">
        <v>57</v>
      </c>
      <c r="H112" s="98">
        <v>7.8</v>
      </c>
      <c r="I112" s="97">
        <v>100</v>
      </c>
      <c r="J112" s="98">
        <v>13.7</v>
      </c>
    </row>
    <row r="113" spans="1:10" s="23" customFormat="1" ht="15.75" x14ac:dyDescent="0.25">
      <c r="A113" s="21" t="s">
        <v>683</v>
      </c>
      <c r="B113" s="93" t="s">
        <v>684</v>
      </c>
      <c r="C113" s="93" t="s">
        <v>545</v>
      </c>
      <c r="D113" s="22">
        <v>7187</v>
      </c>
      <c r="E113" s="101">
        <v>610</v>
      </c>
      <c r="F113" s="102">
        <v>8.5</v>
      </c>
      <c r="G113" s="101">
        <v>1127</v>
      </c>
      <c r="H113" s="102">
        <v>15.7</v>
      </c>
      <c r="I113" s="101">
        <v>1737</v>
      </c>
      <c r="J113" s="102">
        <v>24.2</v>
      </c>
    </row>
    <row r="114" spans="1:10" x14ac:dyDescent="0.2">
      <c r="A114" s="10" t="s">
        <v>685</v>
      </c>
      <c r="B114" s="16" t="s">
        <v>686</v>
      </c>
      <c r="C114" s="16" t="s">
        <v>548</v>
      </c>
      <c r="D114" s="14">
        <v>1112</v>
      </c>
      <c r="E114" s="97">
        <v>77</v>
      </c>
      <c r="F114" s="98">
        <v>6.9</v>
      </c>
      <c r="G114" s="97">
        <v>179</v>
      </c>
      <c r="H114" s="98">
        <v>16.100000000000001</v>
      </c>
      <c r="I114" s="97">
        <v>256</v>
      </c>
      <c r="J114" s="98">
        <v>23</v>
      </c>
    </row>
    <row r="115" spans="1:10" x14ac:dyDescent="0.2">
      <c r="A115" s="10" t="s">
        <v>687</v>
      </c>
      <c r="B115" s="16" t="s">
        <v>688</v>
      </c>
      <c r="C115" s="16" t="s">
        <v>548</v>
      </c>
      <c r="D115" s="14">
        <v>1065</v>
      </c>
      <c r="E115" s="97">
        <v>83</v>
      </c>
      <c r="F115" s="98">
        <v>7.8</v>
      </c>
      <c r="G115" s="97">
        <v>116</v>
      </c>
      <c r="H115" s="98">
        <v>10.9</v>
      </c>
      <c r="I115" s="97">
        <v>199</v>
      </c>
      <c r="J115" s="98">
        <v>18.7</v>
      </c>
    </row>
    <row r="116" spans="1:10" x14ac:dyDescent="0.2">
      <c r="A116" s="10" t="s">
        <v>689</v>
      </c>
      <c r="B116" s="16" t="s">
        <v>690</v>
      </c>
      <c r="C116" s="16" t="s">
        <v>548</v>
      </c>
      <c r="D116" s="14">
        <v>886</v>
      </c>
      <c r="E116" s="97">
        <v>99</v>
      </c>
      <c r="F116" s="98">
        <v>11.2</v>
      </c>
      <c r="G116" s="97">
        <v>161</v>
      </c>
      <c r="H116" s="98">
        <v>18.2</v>
      </c>
      <c r="I116" s="97">
        <v>260</v>
      </c>
      <c r="J116" s="98">
        <v>29.3</v>
      </c>
    </row>
    <row r="117" spans="1:10" x14ac:dyDescent="0.2">
      <c r="A117" s="10" t="s">
        <v>691</v>
      </c>
      <c r="B117" s="16" t="s">
        <v>692</v>
      </c>
      <c r="C117" s="16" t="s">
        <v>548</v>
      </c>
      <c r="D117" s="14">
        <v>1068</v>
      </c>
      <c r="E117" s="97">
        <v>118</v>
      </c>
      <c r="F117" s="98">
        <v>11</v>
      </c>
      <c r="G117" s="97">
        <v>192</v>
      </c>
      <c r="H117" s="98">
        <v>18</v>
      </c>
      <c r="I117" s="97">
        <v>310</v>
      </c>
      <c r="J117" s="98">
        <v>29</v>
      </c>
    </row>
    <row r="118" spans="1:10" x14ac:dyDescent="0.2">
      <c r="A118" s="10" t="s">
        <v>693</v>
      </c>
      <c r="B118" s="16" t="s">
        <v>694</v>
      </c>
      <c r="C118" s="16" t="s">
        <v>548</v>
      </c>
      <c r="D118" s="14">
        <v>975</v>
      </c>
      <c r="E118" s="97">
        <v>54</v>
      </c>
      <c r="F118" s="98">
        <v>5.5</v>
      </c>
      <c r="G118" s="97">
        <v>257</v>
      </c>
      <c r="H118" s="98">
        <v>26.4</v>
      </c>
      <c r="I118" s="97">
        <v>311</v>
      </c>
      <c r="J118" s="98">
        <v>31.9</v>
      </c>
    </row>
    <row r="119" spans="1:10" x14ac:dyDescent="0.2">
      <c r="A119" s="10" t="s">
        <v>695</v>
      </c>
      <c r="B119" s="16" t="s">
        <v>696</v>
      </c>
      <c r="C119" s="16" t="s">
        <v>548</v>
      </c>
      <c r="D119" s="14">
        <v>1077</v>
      </c>
      <c r="E119" s="97">
        <v>71</v>
      </c>
      <c r="F119" s="98">
        <v>6.6</v>
      </c>
      <c r="G119" s="97">
        <v>114</v>
      </c>
      <c r="H119" s="98">
        <v>10.6</v>
      </c>
      <c r="I119" s="97">
        <v>185</v>
      </c>
      <c r="J119" s="98">
        <v>17.2</v>
      </c>
    </row>
    <row r="120" spans="1:10" x14ac:dyDescent="0.2">
      <c r="A120" s="10" t="s">
        <v>697</v>
      </c>
      <c r="B120" s="16" t="s">
        <v>698</v>
      </c>
      <c r="C120" s="16" t="s">
        <v>548</v>
      </c>
      <c r="D120" s="14">
        <v>1004</v>
      </c>
      <c r="E120" s="97">
        <v>108</v>
      </c>
      <c r="F120" s="98">
        <v>10.8</v>
      </c>
      <c r="G120" s="97">
        <v>108</v>
      </c>
      <c r="H120" s="98">
        <v>10.8</v>
      </c>
      <c r="I120" s="97">
        <v>216</v>
      </c>
      <c r="J120" s="98">
        <v>21.5</v>
      </c>
    </row>
    <row r="121" spans="1:10" s="23" customFormat="1" ht="15.75" x14ac:dyDescent="0.25">
      <c r="A121" s="21" t="s">
        <v>699</v>
      </c>
      <c r="B121" s="93" t="s">
        <v>700</v>
      </c>
      <c r="C121" s="93" t="s">
        <v>473</v>
      </c>
      <c r="D121" s="22">
        <v>62263</v>
      </c>
      <c r="E121" s="101">
        <v>7534</v>
      </c>
      <c r="F121" s="102">
        <v>12.1</v>
      </c>
      <c r="G121" s="101">
        <v>18412</v>
      </c>
      <c r="H121" s="102">
        <v>29.6</v>
      </c>
      <c r="I121" s="101">
        <v>25946</v>
      </c>
      <c r="J121" s="102">
        <v>41.7</v>
      </c>
    </row>
    <row r="122" spans="1:10" x14ac:dyDescent="0.2">
      <c r="A122" s="10" t="s">
        <v>701</v>
      </c>
      <c r="B122" s="16" t="s">
        <v>702</v>
      </c>
      <c r="C122" s="16" t="s">
        <v>476</v>
      </c>
      <c r="D122" s="14">
        <v>1397</v>
      </c>
      <c r="E122" s="97">
        <v>122</v>
      </c>
      <c r="F122" s="98">
        <v>8.6999999999999993</v>
      </c>
      <c r="G122" s="97">
        <v>185</v>
      </c>
      <c r="H122" s="98">
        <v>13.2</v>
      </c>
      <c r="I122" s="97">
        <v>307</v>
      </c>
      <c r="J122" s="98">
        <v>22</v>
      </c>
    </row>
    <row r="123" spans="1:10" x14ac:dyDescent="0.2">
      <c r="A123" s="10" t="s">
        <v>703</v>
      </c>
      <c r="B123" s="16" t="s">
        <v>704</v>
      </c>
      <c r="C123" s="16" t="s">
        <v>476</v>
      </c>
      <c r="D123" s="14">
        <v>2328</v>
      </c>
      <c r="E123" s="97">
        <v>172</v>
      </c>
      <c r="F123" s="98">
        <v>7.4</v>
      </c>
      <c r="G123" s="97">
        <v>192</v>
      </c>
      <c r="H123" s="98">
        <v>8.1999999999999993</v>
      </c>
      <c r="I123" s="97">
        <v>364</v>
      </c>
      <c r="J123" s="98">
        <v>15.6</v>
      </c>
    </row>
    <row r="124" spans="1:10" x14ac:dyDescent="0.2">
      <c r="A124" s="10" t="s">
        <v>705</v>
      </c>
      <c r="B124" s="16" t="s">
        <v>706</v>
      </c>
      <c r="C124" s="16" t="s">
        <v>476</v>
      </c>
      <c r="D124" s="14">
        <v>3049</v>
      </c>
      <c r="E124" s="97">
        <v>348</v>
      </c>
      <c r="F124" s="98">
        <v>11.4</v>
      </c>
      <c r="G124" s="97">
        <v>1000</v>
      </c>
      <c r="H124" s="98">
        <v>32.799999999999997</v>
      </c>
      <c r="I124" s="97">
        <v>1348</v>
      </c>
      <c r="J124" s="98">
        <v>44.2</v>
      </c>
    </row>
    <row r="125" spans="1:10" x14ac:dyDescent="0.2">
      <c r="A125" s="10" t="s">
        <v>707</v>
      </c>
      <c r="B125" s="16" t="s">
        <v>708</v>
      </c>
      <c r="C125" s="16" t="s">
        <v>476</v>
      </c>
      <c r="D125" s="14">
        <v>1934</v>
      </c>
      <c r="E125" s="97">
        <v>182</v>
      </c>
      <c r="F125" s="98">
        <v>9.4</v>
      </c>
      <c r="G125" s="97">
        <v>405</v>
      </c>
      <c r="H125" s="98">
        <v>20.9</v>
      </c>
      <c r="I125" s="97">
        <v>587</v>
      </c>
      <c r="J125" s="98">
        <v>30.4</v>
      </c>
    </row>
    <row r="126" spans="1:10" s="23" customFormat="1" ht="15.75" x14ac:dyDescent="0.25">
      <c r="A126" s="21" t="s">
        <v>709</v>
      </c>
      <c r="B126" s="93" t="s">
        <v>710</v>
      </c>
      <c r="C126" s="93" t="s">
        <v>545</v>
      </c>
      <c r="D126" s="22">
        <v>7526</v>
      </c>
      <c r="E126" s="101">
        <v>565</v>
      </c>
      <c r="F126" s="102">
        <v>7.5</v>
      </c>
      <c r="G126" s="101">
        <v>901</v>
      </c>
      <c r="H126" s="102">
        <v>12</v>
      </c>
      <c r="I126" s="101">
        <v>1466</v>
      </c>
      <c r="J126" s="102">
        <v>19.5</v>
      </c>
    </row>
    <row r="127" spans="1:10" x14ac:dyDescent="0.2">
      <c r="A127" s="10" t="s">
        <v>711</v>
      </c>
      <c r="B127" s="16" t="s">
        <v>712</v>
      </c>
      <c r="C127" s="16" t="s">
        <v>548</v>
      </c>
      <c r="D127" s="14">
        <v>918</v>
      </c>
      <c r="E127" s="97">
        <v>45</v>
      </c>
      <c r="F127" s="98">
        <v>4.9000000000000004</v>
      </c>
      <c r="G127" s="97">
        <v>71</v>
      </c>
      <c r="H127" s="98">
        <v>7.7</v>
      </c>
      <c r="I127" s="97">
        <v>116</v>
      </c>
      <c r="J127" s="98">
        <v>12.6</v>
      </c>
    </row>
    <row r="128" spans="1:10" x14ac:dyDescent="0.2">
      <c r="A128" s="10" t="s">
        <v>713</v>
      </c>
      <c r="B128" s="16" t="s">
        <v>714</v>
      </c>
      <c r="C128" s="16" t="s">
        <v>548</v>
      </c>
      <c r="D128" s="14">
        <v>1265</v>
      </c>
      <c r="E128" s="97">
        <v>171</v>
      </c>
      <c r="F128" s="98">
        <v>13.5</v>
      </c>
      <c r="G128" s="97">
        <v>347</v>
      </c>
      <c r="H128" s="98">
        <v>27.4</v>
      </c>
      <c r="I128" s="97">
        <v>518</v>
      </c>
      <c r="J128" s="98">
        <v>40.9</v>
      </c>
    </row>
    <row r="129" spans="1:10" x14ac:dyDescent="0.2">
      <c r="A129" s="10" t="s">
        <v>715</v>
      </c>
      <c r="B129" s="16" t="s">
        <v>716</v>
      </c>
      <c r="C129" s="16" t="s">
        <v>548</v>
      </c>
      <c r="D129" s="14">
        <v>944</v>
      </c>
      <c r="E129" s="97">
        <v>69</v>
      </c>
      <c r="F129" s="98">
        <v>7.3</v>
      </c>
      <c r="G129" s="97">
        <v>47</v>
      </c>
      <c r="H129" s="98">
        <v>5</v>
      </c>
      <c r="I129" s="97">
        <v>116</v>
      </c>
      <c r="J129" s="98">
        <v>12.3</v>
      </c>
    </row>
    <row r="130" spans="1:10" x14ac:dyDescent="0.2">
      <c r="A130" s="10" t="s">
        <v>717</v>
      </c>
      <c r="B130" s="16" t="s">
        <v>718</v>
      </c>
      <c r="C130" s="16" t="s">
        <v>548</v>
      </c>
      <c r="D130" s="14">
        <v>995</v>
      </c>
      <c r="E130" s="97">
        <v>71</v>
      </c>
      <c r="F130" s="98">
        <v>7.1</v>
      </c>
      <c r="G130" s="97">
        <v>134</v>
      </c>
      <c r="H130" s="98">
        <v>13.5</v>
      </c>
      <c r="I130" s="97">
        <v>205</v>
      </c>
      <c r="J130" s="98">
        <v>20.6</v>
      </c>
    </row>
    <row r="131" spans="1:10" x14ac:dyDescent="0.2">
      <c r="A131" s="10" t="s">
        <v>719</v>
      </c>
      <c r="B131" s="16" t="s">
        <v>720</v>
      </c>
      <c r="C131" s="16" t="s">
        <v>548</v>
      </c>
      <c r="D131" s="14">
        <v>832</v>
      </c>
      <c r="E131" s="97">
        <v>41</v>
      </c>
      <c r="F131" s="98">
        <v>4.9000000000000004</v>
      </c>
      <c r="G131" s="97">
        <v>31</v>
      </c>
      <c r="H131" s="98">
        <v>3.7</v>
      </c>
      <c r="I131" s="97">
        <v>72</v>
      </c>
      <c r="J131" s="98">
        <v>8.6999999999999993</v>
      </c>
    </row>
    <row r="132" spans="1:10" x14ac:dyDescent="0.2">
      <c r="A132" s="10" t="s">
        <v>721</v>
      </c>
      <c r="B132" s="16" t="s">
        <v>722</v>
      </c>
      <c r="C132" s="16" t="s">
        <v>548</v>
      </c>
      <c r="D132" s="14">
        <v>1178</v>
      </c>
      <c r="E132" s="97">
        <v>91</v>
      </c>
      <c r="F132" s="98">
        <v>7.7</v>
      </c>
      <c r="G132" s="97">
        <v>175</v>
      </c>
      <c r="H132" s="98">
        <v>14.9</v>
      </c>
      <c r="I132" s="97">
        <v>266</v>
      </c>
      <c r="J132" s="98">
        <v>22.6</v>
      </c>
    </row>
    <row r="133" spans="1:10" x14ac:dyDescent="0.2">
      <c r="A133" s="10" t="s">
        <v>723</v>
      </c>
      <c r="B133" s="16" t="s">
        <v>724</v>
      </c>
      <c r="C133" s="16" t="s">
        <v>548</v>
      </c>
      <c r="D133" s="14">
        <v>668</v>
      </c>
      <c r="E133" s="97">
        <v>28</v>
      </c>
      <c r="F133" s="98">
        <v>4.2</v>
      </c>
      <c r="G133" s="97">
        <v>28</v>
      </c>
      <c r="H133" s="98">
        <v>4.2</v>
      </c>
      <c r="I133" s="97">
        <v>56</v>
      </c>
      <c r="J133" s="98">
        <v>8.4</v>
      </c>
    </row>
    <row r="134" spans="1:10" x14ac:dyDescent="0.2">
      <c r="A134" s="10" t="s">
        <v>725</v>
      </c>
      <c r="B134" s="16" t="s">
        <v>726</v>
      </c>
      <c r="C134" s="16" t="s">
        <v>548</v>
      </c>
      <c r="D134" s="14">
        <v>726</v>
      </c>
      <c r="E134" s="97">
        <v>49</v>
      </c>
      <c r="F134" s="98">
        <v>6.7</v>
      </c>
      <c r="G134" s="97">
        <v>68</v>
      </c>
      <c r="H134" s="98">
        <v>9.4</v>
      </c>
      <c r="I134" s="97">
        <v>117</v>
      </c>
      <c r="J134" s="98">
        <v>16.100000000000001</v>
      </c>
    </row>
    <row r="135" spans="1:10" s="23" customFormat="1" ht="15.75" x14ac:dyDescent="0.25">
      <c r="A135" s="21" t="s">
        <v>727</v>
      </c>
      <c r="B135" s="93" t="s">
        <v>728</v>
      </c>
      <c r="C135" s="93" t="s">
        <v>545</v>
      </c>
      <c r="D135" s="22">
        <v>5678</v>
      </c>
      <c r="E135" s="101">
        <v>600</v>
      </c>
      <c r="F135" s="102">
        <v>10.6</v>
      </c>
      <c r="G135" s="101">
        <v>1151</v>
      </c>
      <c r="H135" s="102">
        <v>20.3</v>
      </c>
      <c r="I135" s="101">
        <v>1751</v>
      </c>
      <c r="J135" s="102">
        <v>30.8</v>
      </c>
    </row>
    <row r="136" spans="1:10" x14ac:dyDescent="0.2">
      <c r="A136" s="10" t="s">
        <v>729</v>
      </c>
      <c r="B136" s="16" t="s">
        <v>730</v>
      </c>
      <c r="C136" s="16" t="s">
        <v>548</v>
      </c>
      <c r="D136" s="14">
        <v>589</v>
      </c>
      <c r="E136" s="97">
        <v>42</v>
      </c>
      <c r="F136" s="98">
        <v>7.1</v>
      </c>
      <c r="G136" s="97">
        <v>33</v>
      </c>
      <c r="H136" s="98">
        <v>5.6</v>
      </c>
      <c r="I136" s="97">
        <v>75</v>
      </c>
      <c r="J136" s="98">
        <v>12.7</v>
      </c>
    </row>
    <row r="137" spans="1:10" x14ac:dyDescent="0.2">
      <c r="A137" s="10" t="s">
        <v>731</v>
      </c>
      <c r="B137" s="16" t="s">
        <v>732</v>
      </c>
      <c r="C137" s="16" t="s">
        <v>548</v>
      </c>
      <c r="D137" s="14">
        <v>1500</v>
      </c>
      <c r="E137" s="97">
        <v>122</v>
      </c>
      <c r="F137" s="98">
        <v>8.1</v>
      </c>
      <c r="G137" s="97">
        <v>357</v>
      </c>
      <c r="H137" s="98">
        <v>23.8</v>
      </c>
      <c r="I137" s="97">
        <v>479</v>
      </c>
      <c r="J137" s="98">
        <v>31.9</v>
      </c>
    </row>
    <row r="138" spans="1:10" x14ac:dyDescent="0.2">
      <c r="A138" s="10" t="s">
        <v>733</v>
      </c>
      <c r="B138" s="16" t="s">
        <v>734</v>
      </c>
      <c r="C138" s="16" t="s">
        <v>548</v>
      </c>
      <c r="D138" s="14">
        <v>1139</v>
      </c>
      <c r="E138" s="97">
        <v>127</v>
      </c>
      <c r="F138" s="98">
        <v>11.2</v>
      </c>
      <c r="G138" s="97">
        <v>352</v>
      </c>
      <c r="H138" s="98">
        <v>30.9</v>
      </c>
      <c r="I138" s="97">
        <v>479</v>
      </c>
      <c r="J138" s="98">
        <v>42.1</v>
      </c>
    </row>
    <row r="139" spans="1:10" x14ac:dyDescent="0.2">
      <c r="A139" s="10" t="s">
        <v>735</v>
      </c>
      <c r="B139" s="16" t="s">
        <v>736</v>
      </c>
      <c r="C139" s="16" t="s">
        <v>548</v>
      </c>
      <c r="D139" s="14">
        <v>1132</v>
      </c>
      <c r="E139" s="97">
        <v>137</v>
      </c>
      <c r="F139" s="98">
        <v>12.1</v>
      </c>
      <c r="G139" s="97">
        <v>124</v>
      </c>
      <c r="H139" s="98">
        <v>11</v>
      </c>
      <c r="I139" s="97">
        <v>261</v>
      </c>
      <c r="J139" s="98">
        <v>23.1</v>
      </c>
    </row>
    <row r="140" spans="1:10" x14ac:dyDescent="0.2">
      <c r="A140" s="10" t="s">
        <v>737</v>
      </c>
      <c r="B140" s="16" t="s">
        <v>738</v>
      </c>
      <c r="C140" s="16" t="s">
        <v>548</v>
      </c>
      <c r="D140" s="14">
        <v>1318</v>
      </c>
      <c r="E140" s="97">
        <v>172</v>
      </c>
      <c r="F140" s="98">
        <v>13.1</v>
      </c>
      <c r="G140" s="97">
        <v>285</v>
      </c>
      <c r="H140" s="98">
        <v>21.6</v>
      </c>
      <c r="I140" s="97">
        <v>457</v>
      </c>
      <c r="J140" s="98">
        <v>34.700000000000003</v>
      </c>
    </row>
    <row r="141" spans="1:10" s="23" customFormat="1" ht="15.75" x14ac:dyDescent="0.25">
      <c r="A141" s="21" t="s">
        <v>739</v>
      </c>
      <c r="B141" s="93" t="s">
        <v>740</v>
      </c>
      <c r="C141" s="93" t="s">
        <v>491</v>
      </c>
      <c r="D141" s="22">
        <v>35141</v>
      </c>
      <c r="E141" s="101">
        <v>5116</v>
      </c>
      <c r="F141" s="102">
        <v>14.6</v>
      </c>
      <c r="G141" s="101">
        <v>13963</v>
      </c>
      <c r="H141" s="102">
        <v>39.700000000000003</v>
      </c>
      <c r="I141" s="101">
        <v>19079</v>
      </c>
      <c r="J141" s="102">
        <v>54.3</v>
      </c>
    </row>
    <row r="142" spans="1:10" x14ac:dyDescent="0.2">
      <c r="A142" s="10" t="s">
        <v>741</v>
      </c>
      <c r="B142" s="16" t="s">
        <v>742</v>
      </c>
      <c r="C142" s="16" t="s">
        <v>494</v>
      </c>
      <c r="D142" s="14">
        <v>14922</v>
      </c>
      <c r="E142" s="97">
        <v>2903</v>
      </c>
      <c r="F142" s="98">
        <v>19.5</v>
      </c>
      <c r="G142" s="97">
        <v>6312</v>
      </c>
      <c r="H142" s="98">
        <v>42.3</v>
      </c>
      <c r="I142" s="97">
        <v>9215</v>
      </c>
      <c r="J142" s="98">
        <v>61.8</v>
      </c>
    </row>
    <row r="143" spans="1:10" x14ac:dyDescent="0.2">
      <c r="A143" s="10" t="s">
        <v>743</v>
      </c>
      <c r="B143" s="16" t="s">
        <v>744</v>
      </c>
      <c r="C143" s="16" t="s">
        <v>494</v>
      </c>
      <c r="D143" s="14">
        <v>3982</v>
      </c>
      <c r="E143" s="97">
        <v>410</v>
      </c>
      <c r="F143" s="98">
        <v>10.3</v>
      </c>
      <c r="G143" s="97">
        <v>2020</v>
      </c>
      <c r="H143" s="98">
        <v>50.7</v>
      </c>
      <c r="I143" s="97">
        <v>2430</v>
      </c>
      <c r="J143" s="98">
        <v>61</v>
      </c>
    </row>
    <row r="144" spans="1:10" x14ac:dyDescent="0.2">
      <c r="A144" s="10" t="s">
        <v>745</v>
      </c>
      <c r="B144" s="16" t="s">
        <v>746</v>
      </c>
      <c r="C144" s="16" t="s">
        <v>494</v>
      </c>
      <c r="D144" s="14">
        <v>3337</v>
      </c>
      <c r="E144" s="97">
        <v>358</v>
      </c>
      <c r="F144" s="98">
        <v>10.7</v>
      </c>
      <c r="G144" s="97">
        <v>649</v>
      </c>
      <c r="H144" s="98">
        <v>19.399999999999999</v>
      </c>
      <c r="I144" s="97">
        <v>1007</v>
      </c>
      <c r="J144" s="98">
        <v>30.2</v>
      </c>
    </row>
    <row r="145" spans="1:10" x14ac:dyDescent="0.2">
      <c r="A145" s="10" t="s">
        <v>747</v>
      </c>
      <c r="B145" s="16" t="s">
        <v>748</v>
      </c>
      <c r="C145" s="16" t="s">
        <v>494</v>
      </c>
      <c r="D145" s="14">
        <v>4482</v>
      </c>
      <c r="E145" s="97">
        <v>550</v>
      </c>
      <c r="F145" s="98">
        <v>12.3</v>
      </c>
      <c r="G145" s="97">
        <v>2159</v>
      </c>
      <c r="H145" s="98">
        <v>48.2</v>
      </c>
      <c r="I145" s="97">
        <v>2709</v>
      </c>
      <c r="J145" s="98">
        <v>60.4</v>
      </c>
    </row>
    <row r="146" spans="1:10" x14ac:dyDescent="0.2">
      <c r="A146" s="10" t="s">
        <v>749</v>
      </c>
      <c r="B146" s="16" t="s">
        <v>750</v>
      </c>
      <c r="C146" s="16" t="s">
        <v>494</v>
      </c>
      <c r="D146" s="14">
        <v>1875</v>
      </c>
      <c r="E146" s="97">
        <v>190</v>
      </c>
      <c r="F146" s="98">
        <v>10.1</v>
      </c>
      <c r="G146" s="97">
        <v>292</v>
      </c>
      <c r="H146" s="98">
        <v>15.6</v>
      </c>
      <c r="I146" s="97">
        <v>482</v>
      </c>
      <c r="J146" s="98">
        <v>25.7</v>
      </c>
    </row>
    <row r="147" spans="1:10" x14ac:dyDescent="0.2">
      <c r="A147" s="10" t="s">
        <v>751</v>
      </c>
      <c r="B147" s="16" t="s">
        <v>752</v>
      </c>
      <c r="C147" s="16" t="s">
        <v>494</v>
      </c>
      <c r="D147" s="14">
        <v>3279</v>
      </c>
      <c r="E147" s="97">
        <v>399</v>
      </c>
      <c r="F147" s="98">
        <v>12.2</v>
      </c>
      <c r="G147" s="97">
        <v>1015</v>
      </c>
      <c r="H147" s="98">
        <v>31</v>
      </c>
      <c r="I147" s="97">
        <v>1414</v>
      </c>
      <c r="J147" s="98">
        <v>43.1</v>
      </c>
    </row>
    <row r="148" spans="1:10" x14ac:dyDescent="0.2">
      <c r="A148" s="10" t="s">
        <v>753</v>
      </c>
      <c r="B148" s="16" t="s">
        <v>754</v>
      </c>
      <c r="C148" s="16" t="s">
        <v>494</v>
      </c>
      <c r="D148" s="14">
        <v>3264</v>
      </c>
      <c r="E148" s="97">
        <v>306</v>
      </c>
      <c r="F148" s="98">
        <v>9.4</v>
      </c>
      <c r="G148" s="97">
        <v>1516</v>
      </c>
      <c r="H148" s="98">
        <v>46.4</v>
      </c>
      <c r="I148" s="97">
        <v>1822</v>
      </c>
      <c r="J148" s="98">
        <v>55.8</v>
      </c>
    </row>
    <row r="149" spans="1:10" s="23" customFormat="1" ht="15.75" x14ac:dyDescent="0.25">
      <c r="A149" s="21" t="s">
        <v>755</v>
      </c>
      <c r="B149" s="93" t="s">
        <v>756</v>
      </c>
      <c r="C149" s="93" t="s">
        <v>545</v>
      </c>
      <c r="D149" s="22">
        <v>5210</v>
      </c>
      <c r="E149" s="101">
        <v>429</v>
      </c>
      <c r="F149" s="102">
        <v>8.1999999999999993</v>
      </c>
      <c r="G149" s="101">
        <v>615</v>
      </c>
      <c r="H149" s="102">
        <v>11.8</v>
      </c>
      <c r="I149" s="101">
        <v>1044</v>
      </c>
      <c r="J149" s="102">
        <v>20</v>
      </c>
    </row>
    <row r="150" spans="1:10" x14ac:dyDescent="0.2">
      <c r="A150" s="10" t="s">
        <v>757</v>
      </c>
      <c r="B150" s="16" t="s">
        <v>758</v>
      </c>
      <c r="C150" s="16" t="s">
        <v>548</v>
      </c>
      <c r="D150" s="14">
        <v>845</v>
      </c>
      <c r="E150" s="97">
        <v>60</v>
      </c>
      <c r="F150" s="98">
        <v>7.1</v>
      </c>
      <c r="G150" s="97">
        <v>32</v>
      </c>
      <c r="H150" s="98">
        <v>3.8</v>
      </c>
      <c r="I150" s="97">
        <v>92</v>
      </c>
      <c r="J150" s="98">
        <v>10.9</v>
      </c>
    </row>
    <row r="151" spans="1:10" x14ac:dyDescent="0.2">
      <c r="A151" s="10" t="s">
        <v>759</v>
      </c>
      <c r="B151" s="16" t="s">
        <v>760</v>
      </c>
      <c r="C151" s="16" t="s">
        <v>548</v>
      </c>
      <c r="D151" s="14">
        <v>563</v>
      </c>
      <c r="E151" s="97">
        <v>40</v>
      </c>
      <c r="F151" s="98">
        <v>7.1</v>
      </c>
      <c r="G151" s="97">
        <v>42</v>
      </c>
      <c r="H151" s="98">
        <v>7.5</v>
      </c>
      <c r="I151" s="97">
        <v>82</v>
      </c>
      <c r="J151" s="98">
        <v>14.6</v>
      </c>
    </row>
    <row r="152" spans="1:10" x14ac:dyDescent="0.2">
      <c r="A152" s="10" t="s">
        <v>761</v>
      </c>
      <c r="B152" s="16" t="s">
        <v>762</v>
      </c>
      <c r="C152" s="16" t="s">
        <v>548</v>
      </c>
      <c r="D152" s="14">
        <v>831</v>
      </c>
      <c r="E152" s="97">
        <v>72</v>
      </c>
      <c r="F152" s="98">
        <v>8.6999999999999993</v>
      </c>
      <c r="G152" s="97">
        <v>121</v>
      </c>
      <c r="H152" s="98">
        <v>14.6</v>
      </c>
      <c r="I152" s="97">
        <v>193</v>
      </c>
      <c r="J152" s="98">
        <v>23.2</v>
      </c>
    </row>
    <row r="153" spans="1:10" x14ac:dyDescent="0.2">
      <c r="A153" s="10" t="s">
        <v>763</v>
      </c>
      <c r="B153" s="16" t="s">
        <v>764</v>
      </c>
      <c r="C153" s="16" t="s">
        <v>548</v>
      </c>
      <c r="D153" s="14">
        <v>1008</v>
      </c>
      <c r="E153" s="97">
        <v>117</v>
      </c>
      <c r="F153" s="98">
        <v>11.6</v>
      </c>
      <c r="G153" s="97">
        <v>234</v>
      </c>
      <c r="H153" s="98">
        <v>23.2</v>
      </c>
      <c r="I153" s="97">
        <v>351</v>
      </c>
      <c r="J153" s="98">
        <v>34.799999999999997</v>
      </c>
    </row>
    <row r="154" spans="1:10" x14ac:dyDescent="0.2">
      <c r="A154" s="10" t="s">
        <v>765</v>
      </c>
      <c r="B154" s="16" t="s">
        <v>766</v>
      </c>
      <c r="C154" s="16" t="s">
        <v>548</v>
      </c>
      <c r="D154" s="14">
        <v>1113</v>
      </c>
      <c r="E154" s="97">
        <v>82</v>
      </c>
      <c r="F154" s="98">
        <v>7.4</v>
      </c>
      <c r="G154" s="97">
        <v>116</v>
      </c>
      <c r="H154" s="98">
        <v>10.4</v>
      </c>
      <c r="I154" s="97">
        <v>198</v>
      </c>
      <c r="J154" s="98">
        <v>17.8</v>
      </c>
    </row>
    <row r="155" spans="1:10" x14ac:dyDescent="0.2">
      <c r="A155" s="10" t="s">
        <v>767</v>
      </c>
      <c r="B155" s="16" t="s">
        <v>768</v>
      </c>
      <c r="C155" s="16" t="s">
        <v>548</v>
      </c>
      <c r="D155" s="14">
        <v>850</v>
      </c>
      <c r="E155" s="97">
        <v>58</v>
      </c>
      <c r="F155" s="98">
        <v>6.8</v>
      </c>
      <c r="G155" s="97">
        <v>70</v>
      </c>
      <c r="H155" s="98">
        <v>8.1999999999999993</v>
      </c>
      <c r="I155" s="97">
        <v>128</v>
      </c>
      <c r="J155" s="98">
        <v>15.1</v>
      </c>
    </row>
    <row r="156" spans="1:10" s="23" customFormat="1" ht="15.75" x14ac:dyDescent="0.25">
      <c r="A156" s="21" t="s">
        <v>769</v>
      </c>
      <c r="B156" s="93" t="s">
        <v>770</v>
      </c>
      <c r="C156" s="93" t="s">
        <v>473</v>
      </c>
      <c r="D156" s="22">
        <v>61911</v>
      </c>
      <c r="E156" s="101">
        <v>7823</v>
      </c>
      <c r="F156" s="102">
        <v>12.6</v>
      </c>
      <c r="G156" s="101">
        <v>15212</v>
      </c>
      <c r="H156" s="102">
        <v>24.6</v>
      </c>
      <c r="I156" s="101">
        <v>23035</v>
      </c>
      <c r="J156" s="102">
        <v>37.200000000000003</v>
      </c>
    </row>
    <row r="157" spans="1:10" x14ac:dyDescent="0.2">
      <c r="A157" s="10" t="s">
        <v>771</v>
      </c>
      <c r="B157" s="16" t="s">
        <v>772</v>
      </c>
      <c r="C157" s="16" t="s">
        <v>476</v>
      </c>
      <c r="D157" s="14">
        <v>2061</v>
      </c>
      <c r="E157" s="97">
        <v>298</v>
      </c>
      <c r="F157" s="98">
        <v>14.5</v>
      </c>
      <c r="G157" s="97">
        <v>645</v>
      </c>
      <c r="H157" s="98">
        <v>31.3</v>
      </c>
      <c r="I157" s="97">
        <v>943</v>
      </c>
      <c r="J157" s="98">
        <v>45.8</v>
      </c>
    </row>
    <row r="158" spans="1:10" x14ac:dyDescent="0.2">
      <c r="A158" s="10" t="s">
        <v>773</v>
      </c>
      <c r="B158" s="16" t="s">
        <v>774</v>
      </c>
      <c r="C158" s="16" t="s">
        <v>476</v>
      </c>
      <c r="D158" s="14">
        <v>3399</v>
      </c>
      <c r="E158" s="97">
        <v>410</v>
      </c>
      <c r="F158" s="98">
        <v>12.1</v>
      </c>
      <c r="G158" s="97">
        <v>619</v>
      </c>
      <c r="H158" s="98">
        <v>18.2</v>
      </c>
      <c r="I158" s="97">
        <v>1029</v>
      </c>
      <c r="J158" s="98">
        <v>30.3</v>
      </c>
    </row>
    <row r="159" spans="1:10" x14ac:dyDescent="0.2">
      <c r="A159" s="10" t="s">
        <v>775</v>
      </c>
      <c r="B159" s="16" t="s">
        <v>776</v>
      </c>
      <c r="C159" s="16" t="s">
        <v>476</v>
      </c>
      <c r="D159" s="14">
        <v>3481</v>
      </c>
      <c r="E159" s="97">
        <v>683</v>
      </c>
      <c r="F159" s="98">
        <v>19.600000000000001</v>
      </c>
      <c r="G159" s="97">
        <v>2037</v>
      </c>
      <c r="H159" s="98">
        <v>58.5</v>
      </c>
      <c r="I159" s="97">
        <v>2720</v>
      </c>
      <c r="J159" s="98">
        <v>78.099999999999994</v>
      </c>
    </row>
    <row r="160" spans="1:10" x14ac:dyDescent="0.2">
      <c r="A160" s="10" t="s">
        <v>777</v>
      </c>
      <c r="B160" s="16" t="s">
        <v>778</v>
      </c>
      <c r="C160" s="16" t="s">
        <v>476</v>
      </c>
      <c r="D160" s="14">
        <v>2501</v>
      </c>
      <c r="E160" s="97">
        <v>410</v>
      </c>
      <c r="F160" s="98">
        <v>16.399999999999999</v>
      </c>
      <c r="G160" s="97">
        <v>1158</v>
      </c>
      <c r="H160" s="98">
        <v>46.3</v>
      </c>
      <c r="I160" s="97">
        <v>1568</v>
      </c>
      <c r="J160" s="98">
        <v>62.7</v>
      </c>
    </row>
    <row r="161" spans="1:10" x14ac:dyDescent="0.2">
      <c r="A161" s="10" t="s">
        <v>779</v>
      </c>
      <c r="B161" s="16" t="s">
        <v>780</v>
      </c>
      <c r="C161" s="16" t="s">
        <v>476</v>
      </c>
      <c r="D161" s="14">
        <v>1730</v>
      </c>
      <c r="E161" s="97">
        <v>218</v>
      </c>
      <c r="F161" s="98">
        <v>12.6</v>
      </c>
      <c r="G161" s="97">
        <v>405</v>
      </c>
      <c r="H161" s="98">
        <v>23.4</v>
      </c>
      <c r="I161" s="97">
        <v>623</v>
      </c>
      <c r="J161" s="98">
        <v>36</v>
      </c>
    </row>
    <row r="162" spans="1:10" x14ac:dyDescent="0.2">
      <c r="A162" s="10" t="s">
        <v>781</v>
      </c>
      <c r="B162" s="16" t="s">
        <v>782</v>
      </c>
      <c r="C162" s="16" t="s">
        <v>476</v>
      </c>
      <c r="D162" s="14">
        <v>2010</v>
      </c>
      <c r="E162" s="97">
        <v>251</v>
      </c>
      <c r="F162" s="98">
        <v>12.5</v>
      </c>
      <c r="G162" s="97">
        <v>760</v>
      </c>
      <c r="H162" s="98">
        <v>37.799999999999997</v>
      </c>
      <c r="I162" s="97">
        <v>1011</v>
      </c>
      <c r="J162" s="98">
        <v>50.3</v>
      </c>
    </row>
    <row r="163" spans="1:10" s="23" customFormat="1" ht="15.75" x14ac:dyDescent="0.25">
      <c r="A163" s="21" t="s">
        <v>783</v>
      </c>
      <c r="B163" s="93" t="s">
        <v>784</v>
      </c>
      <c r="C163" s="93" t="s">
        <v>545</v>
      </c>
      <c r="D163" s="22">
        <v>6156</v>
      </c>
      <c r="E163" s="101">
        <v>839</v>
      </c>
      <c r="F163" s="102">
        <v>13.6</v>
      </c>
      <c r="G163" s="101">
        <v>1605</v>
      </c>
      <c r="H163" s="102">
        <v>26.1</v>
      </c>
      <c r="I163" s="101">
        <v>2444</v>
      </c>
      <c r="J163" s="102">
        <v>39.700000000000003</v>
      </c>
    </row>
    <row r="164" spans="1:10" x14ac:dyDescent="0.2">
      <c r="A164" s="10" t="s">
        <v>785</v>
      </c>
      <c r="B164" s="16" t="s">
        <v>786</v>
      </c>
      <c r="C164" s="16" t="s">
        <v>548</v>
      </c>
      <c r="D164" s="14">
        <v>1109</v>
      </c>
      <c r="E164" s="97">
        <v>208</v>
      </c>
      <c r="F164" s="98">
        <v>18.8</v>
      </c>
      <c r="G164" s="97">
        <v>550</v>
      </c>
      <c r="H164" s="98">
        <v>49.6</v>
      </c>
      <c r="I164" s="97">
        <v>758</v>
      </c>
      <c r="J164" s="98">
        <v>68.3</v>
      </c>
    </row>
    <row r="165" spans="1:10" x14ac:dyDescent="0.2">
      <c r="A165" s="10" t="s">
        <v>787</v>
      </c>
      <c r="B165" s="16" t="s">
        <v>788</v>
      </c>
      <c r="C165" s="16" t="s">
        <v>548</v>
      </c>
      <c r="D165" s="14">
        <v>828</v>
      </c>
      <c r="E165" s="97">
        <v>94</v>
      </c>
      <c r="F165" s="98">
        <v>11.4</v>
      </c>
      <c r="G165" s="97">
        <v>158</v>
      </c>
      <c r="H165" s="98">
        <v>19.100000000000001</v>
      </c>
      <c r="I165" s="97">
        <v>252</v>
      </c>
      <c r="J165" s="98">
        <v>30.4</v>
      </c>
    </row>
    <row r="166" spans="1:10" x14ac:dyDescent="0.2">
      <c r="A166" s="10" t="s">
        <v>789</v>
      </c>
      <c r="B166" s="16" t="s">
        <v>790</v>
      </c>
      <c r="C166" s="16" t="s">
        <v>548</v>
      </c>
      <c r="D166" s="14">
        <v>905</v>
      </c>
      <c r="E166" s="97">
        <v>79</v>
      </c>
      <c r="F166" s="98">
        <v>8.6999999999999993</v>
      </c>
      <c r="G166" s="97">
        <v>145</v>
      </c>
      <c r="H166" s="98">
        <v>16</v>
      </c>
      <c r="I166" s="97">
        <v>224</v>
      </c>
      <c r="J166" s="98">
        <v>24.8</v>
      </c>
    </row>
    <row r="167" spans="1:10" x14ac:dyDescent="0.2">
      <c r="A167" s="10" t="s">
        <v>791</v>
      </c>
      <c r="B167" s="16" t="s">
        <v>792</v>
      </c>
      <c r="C167" s="16" t="s">
        <v>548</v>
      </c>
      <c r="D167" s="14">
        <v>1738</v>
      </c>
      <c r="E167" s="97">
        <v>215</v>
      </c>
      <c r="F167" s="98">
        <v>12.4</v>
      </c>
      <c r="G167" s="97">
        <v>327</v>
      </c>
      <c r="H167" s="98">
        <v>18.8</v>
      </c>
      <c r="I167" s="97">
        <v>542</v>
      </c>
      <c r="J167" s="98">
        <v>31.2</v>
      </c>
    </row>
    <row r="168" spans="1:10" x14ac:dyDescent="0.2">
      <c r="A168" s="10" t="s">
        <v>793</v>
      </c>
      <c r="B168" s="16" t="s">
        <v>794</v>
      </c>
      <c r="C168" s="16" t="s">
        <v>548</v>
      </c>
      <c r="D168" s="14">
        <v>1576</v>
      </c>
      <c r="E168" s="97">
        <v>243</v>
      </c>
      <c r="F168" s="98">
        <v>15.4</v>
      </c>
      <c r="G168" s="97">
        <v>425</v>
      </c>
      <c r="H168" s="98">
        <v>27</v>
      </c>
      <c r="I168" s="97">
        <v>668</v>
      </c>
      <c r="J168" s="98">
        <v>42.4</v>
      </c>
    </row>
    <row r="169" spans="1:10" s="23" customFormat="1" ht="15.75" x14ac:dyDescent="0.25">
      <c r="A169" s="21" t="s">
        <v>795</v>
      </c>
      <c r="B169" s="93" t="s">
        <v>796</v>
      </c>
      <c r="C169" s="93" t="s">
        <v>545</v>
      </c>
      <c r="D169" s="22">
        <v>14837</v>
      </c>
      <c r="E169" s="101">
        <v>1499</v>
      </c>
      <c r="F169" s="102">
        <v>10.1</v>
      </c>
      <c r="G169" s="101">
        <v>2508</v>
      </c>
      <c r="H169" s="102">
        <v>16.899999999999999</v>
      </c>
      <c r="I169" s="101">
        <v>4007</v>
      </c>
      <c r="J169" s="102">
        <v>27</v>
      </c>
    </row>
    <row r="170" spans="1:10" x14ac:dyDescent="0.2">
      <c r="A170" s="10" t="s">
        <v>797</v>
      </c>
      <c r="B170" s="16" t="s">
        <v>798</v>
      </c>
      <c r="C170" s="16" t="s">
        <v>548</v>
      </c>
      <c r="D170" s="14">
        <v>2036</v>
      </c>
      <c r="E170" s="97">
        <v>168</v>
      </c>
      <c r="F170" s="98">
        <v>8.3000000000000007</v>
      </c>
      <c r="G170" s="97">
        <v>469</v>
      </c>
      <c r="H170" s="98">
        <v>23</v>
      </c>
      <c r="I170" s="97">
        <v>637</v>
      </c>
      <c r="J170" s="98">
        <v>31.3</v>
      </c>
    </row>
    <row r="171" spans="1:10" x14ac:dyDescent="0.2">
      <c r="A171" s="10" t="s">
        <v>799</v>
      </c>
      <c r="B171" s="16" t="s">
        <v>800</v>
      </c>
      <c r="C171" s="16" t="s">
        <v>548</v>
      </c>
      <c r="D171" s="14">
        <v>1608</v>
      </c>
      <c r="E171" s="97">
        <v>132</v>
      </c>
      <c r="F171" s="98">
        <v>8.1999999999999993</v>
      </c>
      <c r="G171" s="97">
        <v>153</v>
      </c>
      <c r="H171" s="98">
        <v>9.5</v>
      </c>
      <c r="I171" s="97">
        <v>285</v>
      </c>
      <c r="J171" s="98">
        <v>17.7</v>
      </c>
    </row>
    <row r="172" spans="1:10" x14ac:dyDescent="0.2">
      <c r="A172" s="10" t="s">
        <v>801</v>
      </c>
      <c r="B172" s="16" t="s">
        <v>802</v>
      </c>
      <c r="C172" s="16" t="s">
        <v>548</v>
      </c>
      <c r="D172" s="14">
        <v>783</v>
      </c>
      <c r="E172" s="97">
        <v>98</v>
      </c>
      <c r="F172" s="98">
        <v>12.5</v>
      </c>
      <c r="G172" s="97">
        <v>126</v>
      </c>
      <c r="H172" s="98">
        <v>16.100000000000001</v>
      </c>
      <c r="I172" s="97">
        <v>224</v>
      </c>
      <c r="J172" s="98">
        <v>28.6</v>
      </c>
    </row>
    <row r="173" spans="1:10" x14ac:dyDescent="0.2">
      <c r="A173" s="10" t="s">
        <v>803</v>
      </c>
      <c r="B173" s="16" t="s">
        <v>804</v>
      </c>
      <c r="C173" s="16" t="s">
        <v>548</v>
      </c>
      <c r="D173" s="14">
        <v>750</v>
      </c>
      <c r="E173" s="97">
        <v>65</v>
      </c>
      <c r="F173" s="98">
        <v>8.6999999999999993</v>
      </c>
      <c r="G173" s="97">
        <v>58</v>
      </c>
      <c r="H173" s="98">
        <v>7.7</v>
      </c>
      <c r="I173" s="97">
        <v>123</v>
      </c>
      <c r="J173" s="98">
        <v>16.399999999999999</v>
      </c>
    </row>
    <row r="174" spans="1:10" x14ac:dyDescent="0.2">
      <c r="A174" s="10" t="s">
        <v>805</v>
      </c>
      <c r="B174" s="16" t="s">
        <v>806</v>
      </c>
      <c r="C174" s="16" t="s">
        <v>548</v>
      </c>
      <c r="D174" s="14">
        <v>1729</v>
      </c>
      <c r="E174" s="97">
        <v>198</v>
      </c>
      <c r="F174" s="98">
        <v>11.5</v>
      </c>
      <c r="G174" s="97">
        <v>325</v>
      </c>
      <c r="H174" s="98">
        <v>18.8</v>
      </c>
      <c r="I174" s="97">
        <v>523</v>
      </c>
      <c r="J174" s="98">
        <v>30.2</v>
      </c>
    </row>
    <row r="175" spans="1:10" x14ac:dyDescent="0.2">
      <c r="A175" s="10" t="s">
        <v>807</v>
      </c>
      <c r="B175" s="16" t="s">
        <v>808</v>
      </c>
      <c r="C175" s="16" t="s">
        <v>548</v>
      </c>
      <c r="D175" s="14">
        <v>1894</v>
      </c>
      <c r="E175" s="97">
        <v>198</v>
      </c>
      <c r="F175" s="98">
        <v>10.5</v>
      </c>
      <c r="G175" s="97">
        <v>492</v>
      </c>
      <c r="H175" s="98">
        <v>26</v>
      </c>
      <c r="I175" s="97">
        <v>690</v>
      </c>
      <c r="J175" s="98">
        <v>36.4</v>
      </c>
    </row>
    <row r="176" spans="1:10" x14ac:dyDescent="0.2">
      <c r="A176" s="10" t="s">
        <v>809</v>
      </c>
      <c r="B176" s="16" t="s">
        <v>810</v>
      </c>
      <c r="C176" s="16" t="s">
        <v>548</v>
      </c>
      <c r="D176" s="14">
        <v>1434</v>
      </c>
      <c r="E176" s="97">
        <v>231</v>
      </c>
      <c r="F176" s="98">
        <v>16.100000000000001</v>
      </c>
      <c r="G176" s="97">
        <v>293</v>
      </c>
      <c r="H176" s="98">
        <v>20.399999999999999</v>
      </c>
      <c r="I176" s="97">
        <v>524</v>
      </c>
      <c r="J176" s="98">
        <v>36.5</v>
      </c>
    </row>
    <row r="177" spans="1:10" x14ac:dyDescent="0.2">
      <c r="A177" s="10" t="s">
        <v>811</v>
      </c>
      <c r="B177" s="16" t="s">
        <v>812</v>
      </c>
      <c r="C177" s="16" t="s">
        <v>548</v>
      </c>
      <c r="D177" s="14">
        <v>1143</v>
      </c>
      <c r="E177" s="97">
        <v>138</v>
      </c>
      <c r="F177" s="98">
        <v>12.1</v>
      </c>
      <c r="G177" s="97">
        <v>369</v>
      </c>
      <c r="H177" s="98">
        <v>32.299999999999997</v>
      </c>
      <c r="I177" s="97">
        <v>507</v>
      </c>
      <c r="J177" s="98">
        <v>44.4</v>
      </c>
    </row>
    <row r="178" spans="1:10" x14ac:dyDescent="0.2">
      <c r="A178" s="10" t="s">
        <v>813</v>
      </c>
      <c r="B178" s="16" t="s">
        <v>814</v>
      </c>
      <c r="C178" s="16" t="s">
        <v>548</v>
      </c>
      <c r="D178" s="14">
        <v>576</v>
      </c>
      <c r="E178" s="97">
        <v>36</v>
      </c>
      <c r="F178" s="98">
        <v>6.3</v>
      </c>
      <c r="G178" s="97">
        <v>17</v>
      </c>
      <c r="H178" s="98">
        <v>3</v>
      </c>
      <c r="I178" s="97">
        <v>53</v>
      </c>
      <c r="J178" s="98">
        <v>9.1999999999999993</v>
      </c>
    </row>
    <row r="179" spans="1:10" x14ac:dyDescent="0.2">
      <c r="A179" s="10" t="s">
        <v>815</v>
      </c>
      <c r="B179" s="16" t="s">
        <v>816</v>
      </c>
      <c r="C179" s="16" t="s">
        <v>548</v>
      </c>
      <c r="D179" s="14">
        <v>798</v>
      </c>
      <c r="E179" s="97">
        <v>51</v>
      </c>
      <c r="F179" s="98">
        <v>6.4</v>
      </c>
      <c r="G179" s="97">
        <v>31</v>
      </c>
      <c r="H179" s="98">
        <v>3.9</v>
      </c>
      <c r="I179" s="97">
        <v>82</v>
      </c>
      <c r="J179" s="98">
        <v>10.3</v>
      </c>
    </row>
    <row r="180" spans="1:10" x14ac:dyDescent="0.2">
      <c r="A180" s="10" t="s">
        <v>817</v>
      </c>
      <c r="B180" s="16" t="s">
        <v>818</v>
      </c>
      <c r="C180" s="16" t="s">
        <v>548</v>
      </c>
      <c r="D180" s="14">
        <v>1271</v>
      </c>
      <c r="E180" s="97">
        <v>83</v>
      </c>
      <c r="F180" s="98">
        <v>6.5</v>
      </c>
      <c r="G180" s="97">
        <v>96</v>
      </c>
      <c r="H180" s="98">
        <v>7.6</v>
      </c>
      <c r="I180" s="97">
        <v>179</v>
      </c>
      <c r="J180" s="98">
        <v>14.1</v>
      </c>
    </row>
    <row r="181" spans="1:10" x14ac:dyDescent="0.2">
      <c r="A181" s="10" t="s">
        <v>819</v>
      </c>
      <c r="B181" s="16" t="s">
        <v>820</v>
      </c>
      <c r="C181" s="16" t="s">
        <v>548</v>
      </c>
      <c r="D181" s="14">
        <v>815</v>
      </c>
      <c r="E181" s="97">
        <v>101</v>
      </c>
      <c r="F181" s="98">
        <v>12.4</v>
      </c>
      <c r="G181" s="97">
        <v>79</v>
      </c>
      <c r="H181" s="98">
        <v>9.6999999999999993</v>
      </c>
      <c r="I181" s="97">
        <v>180</v>
      </c>
      <c r="J181" s="98">
        <v>22.1</v>
      </c>
    </row>
    <row r="182" spans="1:10" s="23" customFormat="1" ht="15.75" x14ac:dyDescent="0.25">
      <c r="A182" s="21" t="s">
        <v>821</v>
      </c>
      <c r="B182" s="93" t="s">
        <v>822</v>
      </c>
      <c r="C182" s="93" t="s">
        <v>545</v>
      </c>
      <c r="D182" s="22">
        <v>12228</v>
      </c>
      <c r="E182" s="101">
        <v>1839</v>
      </c>
      <c r="F182" s="102">
        <v>15</v>
      </c>
      <c r="G182" s="101">
        <v>3042</v>
      </c>
      <c r="H182" s="102">
        <v>24.9</v>
      </c>
      <c r="I182" s="101">
        <v>4881</v>
      </c>
      <c r="J182" s="102">
        <v>39.9</v>
      </c>
    </row>
    <row r="183" spans="1:10" x14ac:dyDescent="0.2">
      <c r="A183" s="10" t="s">
        <v>823</v>
      </c>
      <c r="B183" s="16" t="s">
        <v>824</v>
      </c>
      <c r="C183" s="16" t="s">
        <v>548</v>
      </c>
      <c r="D183" s="14">
        <v>1158</v>
      </c>
      <c r="E183" s="97">
        <v>197</v>
      </c>
      <c r="F183" s="98">
        <v>17</v>
      </c>
      <c r="G183" s="97">
        <v>297</v>
      </c>
      <c r="H183" s="98">
        <v>25.6</v>
      </c>
      <c r="I183" s="97">
        <v>494</v>
      </c>
      <c r="J183" s="98">
        <v>42.7</v>
      </c>
    </row>
    <row r="184" spans="1:10" x14ac:dyDescent="0.2">
      <c r="A184" s="10" t="s">
        <v>825</v>
      </c>
      <c r="B184" s="16" t="s">
        <v>826</v>
      </c>
      <c r="C184" s="16" t="s">
        <v>548</v>
      </c>
      <c r="D184" s="14">
        <v>1713</v>
      </c>
      <c r="E184" s="97">
        <v>224</v>
      </c>
      <c r="F184" s="98">
        <v>13.1</v>
      </c>
      <c r="G184" s="97">
        <v>364</v>
      </c>
      <c r="H184" s="98">
        <v>21.2</v>
      </c>
      <c r="I184" s="97">
        <v>588</v>
      </c>
      <c r="J184" s="98">
        <v>34.299999999999997</v>
      </c>
    </row>
    <row r="185" spans="1:10" x14ac:dyDescent="0.2">
      <c r="A185" s="10" t="s">
        <v>827</v>
      </c>
      <c r="B185" s="16" t="s">
        <v>828</v>
      </c>
      <c r="C185" s="16" t="s">
        <v>548</v>
      </c>
      <c r="D185" s="14">
        <v>1006</v>
      </c>
      <c r="E185" s="97">
        <v>171</v>
      </c>
      <c r="F185" s="98">
        <v>17</v>
      </c>
      <c r="G185" s="97">
        <v>314</v>
      </c>
      <c r="H185" s="98">
        <v>31.2</v>
      </c>
      <c r="I185" s="97">
        <v>485</v>
      </c>
      <c r="J185" s="98">
        <v>48.2</v>
      </c>
    </row>
    <row r="186" spans="1:10" x14ac:dyDescent="0.2">
      <c r="A186" s="10" t="s">
        <v>829</v>
      </c>
      <c r="B186" s="16" t="s">
        <v>830</v>
      </c>
      <c r="C186" s="16" t="s">
        <v>548</v>
      </c>
      <c r="D186" s="14">
        <v>1356</v>
      </c>
      <c r="E186" s="97">
        <v>213</v>
      </c>
      <c r="F186" s="98">
        <v>15.7</v>
      </c>
      <c r="G186" s="97">
        <v>169</v>
      </c>
      <c r="H186" s="98">
        <v>12.5</v>
      </c>
      <c r="I186" s="97">
        <v>382</v>
      </c>
      <c r="J186" s="98">
        <v>28.2</v>
      </c>
    </row>
    <row r="187" spans="1:10" x14ac:dyDescent="0.2">
      <c r="A187" s="10" t="s">
        <v>831</v>
      </c>
      <c r="B187" s="16" t="s">
        <v>832</v>
      </c>
      <c r="C187" s="16" t="s">
        <v>548</v>
      </c>
      <c r="D187" s="14">
        <v>800</v>
      </c>
      <c r="E187" s="97">
        <v>125</v>
      </c>
      <c r="F187" s="98">
        <v>15.6</v>
      </c>
      <c r="G187" s="97">
        <v>211</v>
      </c>
      <c r="H187" s="98">
        <v>26.4</v>
      </c>
      <c r="I187" s="97">
        <v>336</v>
      </c>
      <c r="J187" s="98">
        <v>42</v>
      </c>
    </row>
    <row r="188" spans="1:10" x14ac:dyDescent="0.2">
      <c r="A188" s="10" t="s">
        <v>833</v>
      </c>
      <c r="B188" s="16" t="s">
        <v>834</v>
      </c>
      <c r="C188" s="16" t="s">
        <v>548</v>
      </c>
      <c r="D188" s="14">
        <v>1327</v>
      </c>
      <c r="E188" s="97">
        <v>219</v>
      </c>
      <c r="F188" s="98">
        <v>16.5</v>
      </c>
      <c r="G188" s="97">
        <v>665</v>
      </c>
      <c r="H188" s="98">
        <v>50.1</v>
      </c>
      <c r="I188" s="97">
        <v>884</v>
      </c>
      <c r="J188" s="98">
        <v>66.599999999999994</v>
      </c>
    </row>
    <row r="189" spans="1:10" x14ac:dyDescent="0.2">
      <c r="A189" s="10" t="s">
        <v>835</v>
      </c>
      <c r="B189" s="16" t="s">
        <v>836</v>
      </c>
      <c r="C189" s="16" t="s">
        <v>548</v>
      </c>
      <c r="D189" s="14">
        <v>1288</v>
      </c>
      <c r="E189" s="97">
        <v>262</v>
      </c>
      <c r="F189" s="98">
        <v>20.3</v>
      </c>
      <c r="G189" s="97">
        <v>204</v>
      </c>
      <c r="H189" s="98">
        <v>15.8</v>
      </c>
      <c r="I189" s="97">
        <v>466</v>
      </c>
      <c r="J189" s="98">
        <v>36.200000000000003</v>
      </c>
    </row>
    <row r="190" spans="1:10" x14ac:dyDescent="0.2">
      <c r="A190" s="10" t="s">
        <v>837</v>
      </c>
      <c r="B190" s="16" t="s">
        <v>838</v>
      </c>
      <c r="C190" s="16" t="s">
        <v>548</v>
      </c>
      <c r="D190" s="14">
        <v>1115</v>
      </c>
      <c r="E190" s="97">
        <v>151</v>
      </c>
      <c r="F190" s="98">
        <v>13.5</v>
      </c>
      <c r="G190" s="97">
        <v>326</v>
      </c>
      <c r="H190" s="98">
        <v>29.2</v>
      </c>
      <c r="I190" s="97">
        <v>477</v>
      </c>
      <c r="J190" s="98">
        <v>42.8</v>
      </c>
    </row>
    <row r="191" spans="1:10" x14ac:dyDescent="0.2">
      <c r="A191" s="10" t="s">
        <v>839</v>
      </c>
      <c r="B191" s="16" t="s">
        <v>840</v>
      </c>
      <c r="C191" s="16" t="s">
        <v>548</v>
      </c>
      <c r="D191" s="14">
        <v>1485</v>
      </c>
      <c r="E191" s="97">
        <v>183</v>
      </c>
      <c r="F191" s="98">
        <v>12.3</v>
      </c>
      <c r="G191" s="97">
        <v>180</v>
      </c>
      <c r="H191" s="98">
        <v>12.1</v>
      </c>
      <c r="I191" s="97">
        <v>363</v>
      </c>
      <c r="J191" s="98">
        <v>24.4</v>
      </c>
    </row>
    <row r="192" spans="1:10" x14ac:dyDescent="0.2">
      <c r="A192" s="10" t="s">
        <v>841</v>
      </c>
      <c r="B192" s="16" t="s">
        <v>842</v>
      </c>
      <c r="C192" s="16" t="s">
        <v>548</v>
      </c>
      <c r="D192" s="14">
        <v>980</v>
      </c>
      <c r="E192" s="97">
        <v>94</v>
      </c>
      <c r="F192" s="98">
        <v>9.6</v>
      </c>
      <c r="G192" s="97">
        <v>312</v>
      </c>
      <c r="H192" s="98">
        <v>31.8</v>
      </c>
      <c r="I192" s="97">
        <v>406</v>
      </c>
      <c r="J192" s="98">
        <v>41.4</v>
      </c>
    </row>
    <row r="193" spans="1:10" s="23" customFormat="1" ht="15.75" x14ac:dyDescent="0.25">
      <c r="A193" s="21" t="s">
        <v>843</v>
      </c>
      <c r="B193" s="93" t="s">
        <v>844</v>
      </c>
      <c r="C193" s="93" t="s">
        <v>545</v>
      </c>
      <c r="D193" s="22">
        <v>6971</v>
      </c>
      <c r="E193" s="101">
        <v>718</v>
      </c>
      <c r="F193" s="102">
        <v>10.3</v>
      </c>
      <c r="G193" s="101">
        <v>1125</v>
      </c>
      <c r="H193" s="102">
        <v>16.100000000000001</v>
      </c>
      <c r="I193" s="101">
        <v>1843</v>
      </c>
      <c r="J193" s="102">
        <v>26.4</v>
      </c>
    </row>
    <row r="194" spans="1:10" x14ac:dyDescent="0.2">
      <c r="A194" s="10" t="s">
        <v>845</v>
      </c>
      <c r="B194" s="16" t="s">
        <v>846</v>
      </c>
      <c r="C194" s="16" t="s">
        <v>548</v>
      </c>
      <c r="D194" s="14">
        <v>1158</v>
      </c>
      <c r="E194" s="97">
        <v>124</v>
      </c>
      <c r="F194" s="98">
        <v>10.7</v>
      </c>
      <c r="G194" s="97">
        <v>142</v>
      </c>
      <c r="H194" s="98">
        <v>12.3</v>
      </c>
      <c r="I194" s="97">
        <v>266</v>
      </c>
      <c r="J194" s="98">
        <v>23</v>
      </c>
    </row>
    <row r="195" spans="1:10" x14ac:dyDescent="0.2">
      <c r="A195" s="10" t="s">
        <v>847</v>
      </c>
      <c r="B195" s="16" t="s">
        <v>848</v>
      </c>
      <c r="C195" s="16" t="s">
        <v>548</v>
      </c>
      <c r="D195" s="14">
        <v>1035</v>
      </c>
      <c r="E195" s="97">
        <v>110</v>
      </c>
      <c r="F195" s="98">
        <v>10.6</v>
      </c>
      <c r="G195" s="97">
        <v>84</v>
      </c>
      <c r="H195" s="98">
        <v>8.1</v>
      </c>
      <c r="I195" s="97">
        <v>194</v>
      </c>
      <c r="J195" s="98">
        <v>18.7</v>
      </c>
    </row>
    <row r="196" spans="1:10" x14ac:dyDescent="0.2">
      <c r="A196" s="10" t="s">
        <v>849</v>
      </c>
      <c r="B196" s="16" t="s">
        <v>850</v>
      </c>
      <c r="C196" s="16" t="s">
        <v>548</v>
      </c>
      <c r="D196" s="14">
        <v>801</v>
      </c>
      <c r="E196" s="97">
        <v>57</v>
      </c>
      <c r="F196" s="98">
        <v>7.1</v>
      </c>
      <c r="G196" s="97">
        <v>156</v>
      </c>
      <c r="H196" s="98">
        <v>19.5</v>
      </c>
      <c r="I196" s="97">
        <v>213</v>
      </c>
      <c r="J196" s="98">
        <v>26.6</v>
      </c>
    </row>
    <row r="197" spans="1:10" x14ac:dyDescent="0.2">
      <c r="A197" s="10" t="s">
        <v>851</v>
      </c>
      <c r="B197" s="16" t="s">
        <v>852</v>
      </c>
      <c r="C197" s="16" t="s">
        <v>548</v>
      </c>
      <c r="D197" s="14">
        <v>1122</v>
      </c>
      <c r="E197" s="97">
        <v>109</v>
      </c>
      <c r="F197" s="98">
        <v>9.6999999999999993</v>
      </c>
      <c r="G197" s="97">
        <v>182</v>
      </c>
      <c r="H197" s="98">
        <v>16.2</v>
      </c>
      <c r="I197" s="97">
        <v>291</v>
      </c>
      <c r="J197" s="98">
        <v>25.9</v>
      </c>
    </row>
    <row r="198" spans="1:10" x14ac:dyDescent="0.2">
      <c r="A198" s="10" t="s">
        <v>853</v>
      </c>
      <c r="B198" s="16" t="s">
        <v>854</v>
      </c>
      <c r="C198" s="16" t="s">
        <v>548</v>
      </c>
      <c r="D198" s="14">
        <v>526</v>
      </c>
      <c r="E198" s="97">
        <v>38</v>
      </c>
      <c r="F198" s="98">
        <v>7.2</v>
      </c>
      <c r="G198" s="97">
        <v>25</v>
      </c>
      <c r="H198" s="98">
        <v>4.8</v>
      </c>
      <c r="I198" s="97">
        <v>63</v>
      </c>
      <c r="J198" s="98">
        <v>12</v>
      </c>
    </row>
    <row r="199" spans="1:10" x14ac:dyDescent="0.2">
      <c r="A199" s="10" t="s">
        <v>855</v>
      </c>
      <c r="B199" s="16" t="s">
        <v>856</v>
      </c>
      <c r="C199" s="16" t="s">
        <v>548</v>
      </c>
      <c r="D199" s="14">
        <v>1183</v>
      </c>
      <c r="E199" s="97">
        <v>145</v>
      </c>
      <c r="F199" s="98">
        <v>12.3</v>
      </c>
      <c r="G199" s="97">
        <v>403</v>
      </c>
      <c r="H199" s="98">
        <v>34.1</v>
      </c>
      <c r="I199" s="97">
        <v>548</v>
      </c>
      <c r="J199" s="98">
        <v>46.3</v>
      </c>
    </row>
    <row r="200" spans="1:10" x14ac:dyDescent="0.2">
      <c r="A200" s="10" t="s">
        <v>857</v>
      </c>
      <c r="B200" s="16" t="s">
        <v>858</v>
      </c>
      <c r="C200" s="16" t="s">
        <v>548</v>
      </c>
      <c r="D200" s="14">
        <v>1146</v>
      </c>
      <c r="E200" s="97">
        <v>135</v>
      </c>
      <c r="F200" s="98">
        <v>11.8</v>
      </c>
      <c r="G200" s="97">
        <v>133</v>
      </c>
      <c r="H200" s="98">
        <v>11.6</v>
      </c>
      <c r="I200" s="97">
        <v>268</v>
      </c>
      <c r="J200" s="98">
        <v>23.4</v>
      </c>
    </row>
    <row r="201" spans="1:10" s="23" customFormat="1" ht="15.75" x14ac:dyDescent="0.25">
      <c r="A201" s="21" t="s">
        <v>859</v>
      </c>
      <c r="B201" s="93" t="s">
        <v>860</v>
      </c>
      <c r="C201" s="93" t="s">
        <v>545</v>
      </c>
      <c r="D201" s="22">
        <v>6537</v>
      </c>
      <c r="E201" s="101">
        <v>658</v>
      </c>
      <c r="F201" s="102">
        <v>10.1</v>
      </c>
      <c r="G201" s="101">
        <v>1308</v>
      </c>
      <c r="H201" s="102">
        <v>20</v>
      </c>
      <c r="I201" s="101">
        <v>1966</v>
      </c>
      <c r="J201" s="102">
        <v>30.1</v>
      </c>
    </row>
    <row r="202" spans="1:10" x14ac:dyDescent="0.2">
      <c r="A202" s="10" t="s">
        <v>861</v>
      </c>
      <c r="B202" s="16" t="s">
        <v>862</v>
      </c>
      <c r="C202" s="16" t="s">
        <v>548</v>
      </c>
      <c r="D202" s="14">
        <v>757</v>
      </c>
      <c r="E202" s="97">
        <v>72</v>
      </c>
      <c r="F202" s="98">
        <v>9.5</v>
      </c>
      <c r="G202" s="97">
        <v>39</v>
      </c>
      <c r="H202" s="98">
        <v>5.2</v>
      </c>
      <c r="I202" s="97">
        <v>111</v>
      </c>
      <c r="J202" s="98">
        <v>14.7</v>
      </c>
    </row>
    <row r="203" spans="1:10" x14ac:dyDescent="0.2">
      <c r="A203" s="10" t="s">
        <v>863</v>
      </c>
      <c r="B203" s="16" t="s">
        <v>864</v>
      </c>
      <c r="C203" s="16" t="s">
        <v>548</v>
      </c>
      <c r="D203" s="14">
        <v>1426</v>
      </c>
      <c r="E203" s="97">
        <v>164</v>
      </c>
      <c r="F203" s="98">
        <v>11.5</v>
      </c>
      <c r="G203" s="97">
        <v>522</v>
      </c>
      <c r="H203" s="98">
        <v>36.6</v>
      </c>
      <c r="I203" s="97">
        <v>686</v>
      </c>
      <c r="J203" s="98">
        <v>48.1</v>
      </c>
    </row>
    <row r="204" spans="1:10" x14ac:dyDescent="0.2">
      <c r="A204" s="10" t="s">
        <v>865</v>
      </c>
      <c r="B204" s="16" t="s">
        <v>866</v>
      </c>
      <c r="C204" s="16" t="s">
        <v>548</v>
      </c>
      <c r="D204" s="14">
        <v>926</v>
      </c>
      <c r="E204" s="97">
        <v>90</v>
      </c>
      <c r="F204" s="98">
        <v>9.6999999999999993</v>
      </c>
      <c r="G204" s="97">
        <v>58</v>
      </c>
      <c r="H204" s="98">
        <v>6.3</v>
      </c>
      <c r="I204" s="97">
        <v>148</v>
      </c>
      <c r="J204" s="98">
        <v>16</v>
      </c>
    </row>
    <row r="205" spans="1:10" x14ac:dyDescent="0.2">
      <c r="A205" s="10" t="s">
        <v>867</v>
      </c>
      <c r="B205" s="16" t="s">
        <v>868</v>
      </c>
      <c r="C205" s="16" t="s">
        <v>548</v>
      </c>
      <c r="D205" s="14">
        <v>1618</v>
      </c>
      <c r="E205" s="97">
        <v>123</v>
      </c>
      <c r="F205" s="98">
        <v>7.6</v>
      </c>
      <c r="G205" s="97">
        <v>108</v>
      </c>
      <c r="H205" s="98">
        <v>6.7</v>
      </c>
      <c r="I205" s="97">
        <v>231</v>
      </c>
      <c r="J205" s="98">
        <v>14.3</v>
      </c>
    </row>
    <row r="206" spans="1:10" x14ac:dyDescent="0.2">
      <c r="A206" s="10" t="s">
        <v>869</v>
      </c>
      <c r="B206" s="16" t="s">
        <v>870</v>
      </c>
      <c r="C206" s="16" t="s">
        <v>548</v>
      </c>
      <c r="D206" s="14">
        <v>1810</v>
      </c>
      <c r="E206" s="97">
        <v>209</v>
      </c>
      <c r="F206" s="98">
        <v>11.5</v>
      </c>
      <c r="G206" s="97">
        <v>581</v>
      </c>
      <c r="H206" s="98">
        <v>32.1</v>
      </c>
      <c r="I206" s="97">
        <v>790</v>
      </c>
      <c r="J206" s="98">
        <v>43.6</v>
      </c>
    </row>
    <row r="207" spans="1:10" s="23" customFormat="1" ht="15.75" x14ac:dyDescent="0.25">
      <c r="A207" s="21" t="s">
        <v>871</v>
      </c>
      <c r="B207" s="93" t="s">
        <v>872</v>
      </c>
      <c r="C207" s="93" t="s">
        <v>473</v>
      </c>
      <c r="D207" s="22">
        <v>103639</v>
      </c>
      <c r="E207" s="101">
        <v>20556</v>
      </c>
      <c r="F207" s="102">
        <v>19.8</v>
      </c>
      <c r="G207" s="101">
        <v>50392</v>
      </c>
      <c r="H207" s="102">
        <v>48.6</v>
      </c>
      <c r="I207" s="101">
        <v>70948</v>
      </c>
      <c r="J207" s="102">
        <v>68.5</v>
      </c>
    </row>
    <row r="208" spans="1:10" s="23" customFormat="1" ht="15.75" x14ac:dyDescent="0.25">
      <c r="A208" s="21" t="s">
        <v>873</v>
      </c>
      <c r="B208" s="93" t="s">
        <v>874</v>
      </c>
      <c r="C208" s="93" t="s">
        <v>491</v>
      </c>
      <c r="D208" s="22">
        <v>39420</v>
      </c>
      <c r="E208" s="101">
        <v>9401</v>
      </c>
      <c r="F208" s="102">
        <v>23.8</v>
      </c>
      <c r="G208" s="101">
        <v>17574</v>
      </c>
      <c r="H208" s="102">
        <v>44.6</v>
      </c>
      <c r="I208" s="101">
        <v>26975</v>
      </c>
      <c r="J208" s="102">
        <v>68.400000000000006</v>
      </c>
    </row>
    <row r="209" spans="1:10" x14ac:dyDescent="0.2">
      <c r="A209" s="10" t="s">
        <v>875</v>
      </c>
      <c r="B209" s="16" t="s">
        <v>876</v>
      </c>
      <c r="C209" s="16" t="s">
        <v>877</v>
      </c>
      <c r="D209" s="14">
        <v>1991</v>
      </c>
      <c r="E209" s="97">
        <v>511</v>
      </c>
      <c r="F209" s="98">
        <v>25.7</v>
      </c>
      <c r="G209" s="97">
        <v>910</v>
      </c>
      <c r="H209" s="98">
        <v>45.7</v>
      </c>
      <c r="I209" s="97">
        <v>1421</v>
      </c>
      <c r="J209" s="98">
        <v>71.400000000000006</v>
      </c>
    </row>
    <row r="210" spans="1:10" x14ac:dyDescent="0.2">
      <c r="A210" s="10" t="s">
        <v>878</v>
      </c>
      <c r="B210" s="16" t="s">
        <v>879</v>
      </c>
      <c r="C210" s="16" t="s">
        <v>877</v>
      </c>
      <c r="D210" s="14">
        <v>69</v>
      </c>
      <c r="E210" s="97">
        <v>20</v>
      </c>
      <c r="F210" s="98">
        <v>29</v>
      </c>
      <c r="G210" s="97">
        <v>38</v>
      </c>
      <c r="H210" s="98">
        <v>55.1</v>
      </c>
      <c r="I210" s="97">
        <v>58</v>
      </c>
      <c r="J210" s="98">
        <v>84.1</v>
      </c>
    </row>
    <row r="211" spans="1:10" x14ac:dyDescent="0.2">
      <c r="A211" s="10" t="s">
        <v>880</v>
      </c>
      <c r="B211" s="16" t="s">
        <v>881</v>
      </c>
      <c r="C211" s="16" t="s">
        <v>877</v>
      </c>
      <c r="D211" s="14">
        <v>3494</v>
      </c>
      <c r="E211" s="97">
        <v>1250</v>
      </c>
      <c r="F211" s="98">
        <v>35.799999999999997</v>
      </c>
      <c r="G211" s="97">
        <v>1034</v>
      </c>
      <c r="H211" s="98">
        <v>29.6</v>
      </c>
      <c r="I211" s="97">
        <v>2284</v>
      </c>
      <c r="J211" s="98">
        <v>65.400000000000006</v>
      </c>
    </row>
    <row r="212" spans="1:10" x14ac:dyDescent="0.2">
      <c r="A212" s="10" t="s">
        <v>882</v>
      </c>
      <c r="B212" s="16" t="s">
        <v>883</v>
      </c>
      <c r="C212" s="16" t="s">
        <v>877</v>
      </c>
      <c r="D212" s="14">
        <v>1948</v>
      </c>
      <c r="E212" s="97">
        <v>476</v>
      </c>
      <c r="F212" s="98">
        <v>24.4</v>
      </c>
      <c r="G212" s="97">
        <v>870</v>
      </c>
      <c r="H212" s="98">
        <v>44.7</v>
      </c>
      <c r="I212" s="97">
        <v>1346</v>
      </c>
      <c r="J212" s="98">
        <v>69.099999999999994</v>
      </c>
    </row>
    <row r="213" spans="1:10" x14ac:dyDescent="0.2">
      <c r="A213" s="10" t="s">
        <v>884</v>
      </c>
      <c r="B213" s="16" t="s">
        <v>885</v>
      </c>
      <c r="C213" s="16" t="s">
        <v>877</v>
      </c>
      <c r="D213" s="14">
        <v>2932</v>
      </c>
      <c r="E213" s="97">
        <v>711</v>
      </c>
      <c r="F213" s="98">
        <v>24.2</v>
      </c>
      <c r="G213" s="97">
        <v>1298</v>
      </c>
      <c r="H213" s="98">
        <v>44.3</v>
      </c>
      <c r="I213" s="97">
        <v>2009</v>
      </c>
      <c r="J213" s="98">
        <v>68.5</v>
      </c>
    </row>
    <row r="214" spans="1:10" x14ac:dyDescent="0.2">
      <c r="A214" s="10" t="s">
        <v>886</v>
      </c>
      <c r="B214" s="16" t="s">
        <v>887</v>
      </c>
      <c r="C214" s="16" t="s">
        <v>877</v>
      </c>
      <c r="D214" s="14">
        <v>2229</v>
      </c>
      <c r="E214" s="97">
        <v>548</v>
      </c>
      <c r="F214" s="98">
        <v>24.6</v>
      </c>
      <c r="G214" s="97">
        <v>903</v>
      </c>
      <c r="H214" s="98">
        <v>40.5</v>
      </c>
      <c r="I214" s="97">
        <v>1451</v>
      </c>
      <c r="J214" s="98">
        <v>65.099999999999994</v>
      </c>
    </row>
    <row r="215" spans="1:10" x14ac:dyDescent="0.2">
      <c r="A215" s="10" t="s">
        <v>888</v>
      </c>
      <c r="B215" s="16" t="s">
        <v>889</v>
      </c>
      <c r="C215" s="16" t="s">
        <v>877</v>
      </c>
      <c r="D215" s="14">
        <v>1314</v>
      </c>
      <c r="E215" s="97">
        <v>375</v>
      </c>
      <c r="F215" s="98">
        <v>28.5</v>
      </c>
      <c r="G215" s="97">
        <v>676</v>
      </c>
      <c r="H215" s="98">
        <v>51.4</v>
      </c>
      <c r="I215" s="97">
        <v>1051</v>
      </c>
      <c r="J215" s="98">
        <v>80</v>
      </c>
    </row>
    <row r="216" spans="1:10" x14ac:dyDescent="0.2">
      <c r="A216" s="10" t="s">
        <v>890</v>
      </c>
      <c r="B216" s="16" t="s">
        <v>891</v>
      </c>
      <c r="C216" s="16" t="s">
        <v>877</v>
      </c>
      <c r="D216" s="14">
        <v>3272</v>
      </c>
      <c r="E216" s="97">
        <v>830</v>
      </c>
      <c r="F216" s="98">
        <v>25.4</v>
      </c>
      <c r="G216" s="97">
        <v>1085</v>
      </c>
      <c r="H216" s="98">
        <v>33.200000000000003</v>
      </c>
      <c r="I216" s="97">
        <v>1915</v>
      </c>
      <c r="J216" s="98">
        <v>58.5</v>
      </c>
    </row>
    <row r="217" spans="1:10" x14ac:dyDescent="0.2">
      <c r="A217" s="10" t="s">
        <v>892</v>
      </c>
      <c r="B217" s="16" t="s">
        <v>893</v>
      </c>
      <c r="C217" s="16" t="s">
        <v>877</v>
      </c>
      <c r="D217" s="14">
        <v>3677</v>
      </c>
      <c r="E217" s="97">
        <v>764</v>
      </c>
      <c r="F217" s="98">
        <v>20.8</v>
      </c>
      <c r="G217" s="97">
        <v>1364</v>
      </c>
      <c r="H217" s="98">
        <v>37.1</v>
      </c>
      <c r="I217" s="97">
        <v>2128</v>
      </c>
      <c r="J217" s="98">
        <v>57.9</v>
      </c>
    </row>
    <row r="218" spans="1:10" x14ac:dyDescent="0.2">
      <c r="A218" s="10" t="s">
        <v>894</v>
      </c>
      <c r="B218" s="16" t="s">
        <v>895</v>
      </c>
      <c r="C218" s="16" t="s">
        <v>877</v>
      </c>
      <c r="D218" s="14">
        <v>5342</v>
      </c>
      <c r="E218" s="97">
        <v>870</v>
      </c>
      <c r="F218" s="98">
        <v>16.3</v>
      </c>
      <c r="G218" s="97">
        <v>3530</v>
      </c>
      <c r="H218" s="98">
        <v>66.099999999999994</v>
      </c>
      <c r="I218" s="97">
        <v>4400</v>
      </c>
      <c r="J218" s="98">
        <v>82.4</v>
      </c>
    </row>
    <row r="219" spans="1:10" x14ac:dyDescent="0.2">
      <c r="A219" s="10" t="s">
        <v>896</v>
      </c>
      <c r="B219" s="16" t="s">
        <v>897</v>
      </c>
      <c r="C219" s="16" t="s">
        <v>877</v>
      </c>
      <c r="D219" s="14">
        <v>3150</v>
      </c>
      <c r="E219" s="97">
        <v>775</v>
      </c>
      <c r="F219" s="98">
        <v>24.6</v>
      </c>
      <c r="G219" s="97">
        <v>1256</v>
      </c>
      <c r="H219" s="98">
        <v>39.9</v>
      </c>
      <c r="I219" s="97">
        <v>2031</v>
      </c>
      <c r="J219" s="98">
        <v>64.5</v>
      </c>
    </row>
    <row r="220" spans="1:10" x14ac:dyDescent="0.2">
      <c r="A220" s="10" t="s">
        <v>898</v>
      </c>
      <c r="B220" s="16" t="s">
        <v>899</v>
      </c>
      <c r="C220" s="16" t="s">
        <v>877</v>
      </c>
      <c r="D220" s="14">
        <v>4192</v>
      </c>
      <c r="E220" s="97">
        <v>858</v>
      </c>
      <c r="F220" s="98">
        <v>20.5</v>
      </c>
      <c r="G220" s="97">
        <v>2210</v>
      </c>
      <c r="H220" s="98">
        <v>52.7</v>
      </c>
      <c r="I220" s="97">
        <v>3068</v>
      </c>
      <c r="J220" s="98">
        <v>73.2</v>
      </c>
    </row>
    <row r="221" spans="1:10" x14ac:dyDescent="0.2">
      <c r="A221" s="10" t="s">
        <v>900</v>
      </c>
      <c r="B221" s="16" t="s">
        <v>901</v>
      </c>
      <c r="C221" s="16" t="s">
        <v>877</v>
      </c>
      <c r="D221" s="14">
        <v>3964</v>
      </c>
      <c r="E221" s="97">
        <v>957</v>
      </c>
      <c r="F221" s="98">
        <v>24.1</v>
      </c>
      <c r="G221" s="97">
        <v>1376</v>
      </c>
      <c r="H221" s="98">
        <v>34.700000000000003</v>
      </c>
      <c r="I221" s="97">
        <v>2333</v>
      </c>
      <c r="J221" s="98">
        <v>58.9</v>
      </c>
    </row>
    <row r="222" spans="1:10" x14ac:dyDescent="0.2">
      <c r="A222" s="10" t="s">
        <v>902</v>
      </c>
      <c r="B222" s="16" t="s">
        <v>903</v>
      </c>
      <c r="C222" s="16" t="s">
        <v>877</v>
      </c>
      <c r="D222" s="14">
        <v>1846</v>
      </c>
      <c r="E222" s="97">
        <v>456</v>
      </c>
      <c r="F222" s="98">
        <v>24.7</v>
      </c>
      <c r="G222" s="97">
        <v>1024</v>
      </c>
      <c r="H222" s="98">
        <v>55.5</v>
      </c>
      <c r="I222" s="97">
        <v>1480</v>
      </c>
      <c r="J222" s="98">
        <v>80.2</v>
      </c>
    </row>
    <row r="223" spans="1:10" s="23" customFormat="1" ht="15.75" x14ac:dyDescent="0.25">
      <c r="A223" s="21" t="s">
        <v>904</v>
      </c>
      <c r="B223" s="93" t="s">
        <v>905</v>
      </c>
      <c r="C223" s="93" t="s">
        <v>491</v>
      </c>
      <c r="D223" s="22">
        <v>64219</v>
      </c>
      <c r="E223" s="101">
        <v>11155</v>
      </c>
      <c r="F223" s="102">
        <v>17.399999999999999</v>
      </c>
      <c r="G223" s="101">
        <v>32818</v>
      </c>
      <c r="H223" s="102">
        <v>51.1</v>
      </c>
      <c r="I223" s="101">
        <v>43973</v>
      </c>
      <c r="J223" s="102">
        <v>68.5</v>
      </c>
    </row>
    <row r="224" spans="1:10" x14ac:dyDescent="0.2">
      <c r="A224" s="10" t="s">
        <v>906</v>
      </c>
      <c r="B224" s="16" t="s">
        <v>907</v>
      </c>
      <c r="C224" s="16" t="s">
        <v>877</v>
      </c>
      <c r="D224" s="14">
        <v>3502</v>
      </c>
      <c r="E224" s="97">
        <v>510</v>
      </c>
      <c r="F224" s="98">
        <v>14.6</v>
      </c>
      <c r="G224" s="97">
        <v>2242</v>
      </c>
      <c r="H224" s="98">
        <v>64</v>
      </c>
      <c r="I224" s="97">
        <v>2752</v>
      </c>
      <c r="J224" s="98">
        <v>78.599999999999994</v>
      </c>
    </row>
    <row r="225" spans="1:10" x14ac:dyDescent="0.2">
      <c r="A225" s="10" t="s">
        <v>908</v>
      </c>
      <c r="B225" s="16" t="s">
        <v>909</v>
      </c>
      <c r="C225" s="16" t="s">
        <v>877</v>
      </c>
      <c r="D225" s="14">
        <v>4411</v>
      </c>
      <c r="E225" s="97">
        <v>951</v>
      </c>
      <c r="F225" s="98">
        <v>21.6</v>
      </c>
      <c r="G225" s="97">
        <v>2136</v>
      </c>
      <c r="H225" s="98">
        <v>48.4</v>
      </c>
      <c r="I225" s="97">
        <v>3087</v>
      </c>
      <c r="J225" s="98">
        <v>70</v>
      </c>
    </row>
    <row r="226" spans="1:10" x14ac:dyDescent="0.2">
      <c r="A226" s="10" t="s">
        <v>910</v>
      </c>
      <c r="B226" s="16" t="s">
        <v>911</v>
      </c>
      <c r="C226" s="16" t="s">
        <v>877</v>
      </c>
      <c r="D226" s="14">
        <v>2579</v>
      </c>
      <c r="E226" s="97">
        <v>339</v>
      </c>
      <c r="F226" s="98">
        <v>13.1</v>
      </c>
      <c r="G226" s="97">
        <v>938</v>
      </c>
      <c r="H226" s="98">
        <v>36.4</v>
      </c>
      <c r="I226" s="97">
        <v>1277</v>
      </c>
      <c r="J226" s="98">
        <v>49.5</v>
      </c>
    </row>
    <row r="227" spans="1:10" x14ac:dyDescent="0.2">
      <c r="A227" s="10" t="s">
        <v>912</v>
      </c>
      <c r="B227" s="16" t="s">
        <v>913</v>
      </c>
      <c r="C227" s="16" t="s">
        <v>877</v>
      </c>
      <c r="D227" s="14">
        <v>4456</v>
      </c>
      <c r="E227" s="97">
        <v>658</v>
      </c>
      <c r="F227" s="98">
        <v>14.8</v>
      </c>
      <c r="G227" s="97">
        <v>3090</v>
      </c>
      <c r="H227" s="98">
        <v>69.3</v>
      </c>
      <c r="I227" s="97">
        <v>3748</v>
      </c>
      <c r="J227" s="98">
        <v>84.1</v>
      </c>
    </row>
    <row r="228" spans="1:10" x14ac:dyDescent="0.2">
      <c r="A228" s="10" t="s">
        <v>914</v>
      </c>
      <c r="B228" s="16" t="s">
        <v>915</v>
      </c>
      <c r="C228" s="16" t="s">
        <v>877</v>
      </c>
      <c r="D228" s="14">
        <v>3228</v>
      </c>
      <c r="E228" s="97">
        <v>563</v>
      </c>
      <c r="F228" s="98">
        <v>17.399999999999999</v>
      </c>
      <c r="G228" s="97">
        <v>905</v>
      </c>
      <c r="H228" s="98">
        <v>28</v>
      </c>
      <c r="I228" s="97">
        <v>1468</v>
      </c>
      <c r="J228" s="98">
        <v>45.5</v>
      </c>
    </row>
    <row r="229" spans="1:10" x14ac:dyDescent="0.2">
      <c r="A229" s="10" t="s">
        <v>916</v>
      </c>
      <c r="B229" s="16" t="s">
        <v>917</v>
      </c>
      <c r="C229" s="16" t="s">
        <v>877</v>
      </c>
      <c r="D229" s="14">
        <v>4997</v>
      </c>
      <c r="E229" s="97">
        <v>940</v>
      </c>
      <c r="F229" s="98">
        <v>18.8</v>
      </c>
      <c r="G229" s="97">
        <v>2277</v>
      </c>
      <c r="H229" s="98">
        <v>45.6</v>
      </c>
      <c r="I229" s="97">
        <v>3217</v>
      </c>
      <c r="J229" s="98">
        <v>64.400000000000006</v>
      </c>
    </row>
    <row r="230" spans="1:10" x14ac:dyDescent="0.2">
      <c r="A230" s="10" t="s">
        <v>918</v>
      </c>
      <c r="B230" s="16" t="s">
        <v>919</v>
      </c>
      <c r="C230" s="16" t="s">
        <v>877</v>
      </c>
      <c r="D230" s="14">
        <v>4521</v>
      </c>
      <c r="E230" s="97">
        <v>793</v>
      </c>
      <c r="F230" s="98">
        <v>17.5</v>
      </c>
      <c r="G230" s="97">
        <v>2804</v>
      </c>
      <c r="H230" s="98">
        <v>62</v>
      </c>
      <c r="I230" s="97">
        <v>3597</v>
      </c>
      <c r="J230" s="98">
        <v>79.599999999999994</v>
      </c>
    </row>
    <row r="231" spans="1:10" x14ac:dyDescent="0.2">
      <c r="A231" s="10" t="s">
        <v>920</v>
      </c>
      <c r="B231" s="16" t="s">
        <v>921</v>
      </c>
      <c r="C231" s="16" t="s">
        <v>877</v>
      </c>
      <c r="D231" s="14">
        <v>3553</v>
      </c>
      <c r="E231" s="97">
        <v>732</v>
      </c>
      <c r="F231" s="98">
        <v>20.6</v>
      </c>
      <c r="G231" s="97">
        <v>1762</v>
      </c>
      <c r="H231" s="98">
        <v>49.6</v>
      </c>
      <c r="I231" s="97">
        <v>2494</v>
      </c>
      <c r="J231" s="98">
        <v>70.2</v>
      </c>
    </row>
    <row r="232" spans="1:10" x14ac:dyDescent="0.2">
      <c r="A232" s="10" t="s">
        <v>922</v>
      </c>
      <c r="B232" s="16" t="s">
        <v>923</v>
      </c>
      <c r="C232" s="16" t="s">
        <v>877</v>
      </c>
      <c r="D232" s="14">
        <v>3355</v>
      </c>
      <c r="E232" s="97">
        <v>625</v>
      </c>
      <c r="F232" s="98">
        <v>18.600000000000001</v>
      </c>
      <c r="G232" s="97">
        <v>1612</v>
      </c>
      <c r="H232" s="98">
        <v>48</v>
      </c>
      <c r="I232" s="97">
        <v>2237</v>
      </c>
      <c r="J232" s="98">
        <v>66.7</v>
      </c>
    </row>
    <row r="233" spans="1:10" x14ac:dyDescent="0.2">
      <c r="A233" s="10" t="s">
        <v>924</v>
      </c>
      <c r="B233" s="16" t="s">
        <v>925</v>
      </c>
      <c r="C233" s="16" t="s">
        <v>877</v>
      </c>
      <c r="D233" s="14">
        <v>3311</v>
      </c>
      <c r="E233" s="97">
        <v>437</v>
      </c>
      <c r="F233" s="98">
        <v>13.2</v>
      </c>
      <c r="G233" s="97">
        <v>2334</v>
      </c>
      <c r="H233" s="98">
        <v>70.5</v>
      </c>
      <c r="I233" s="97">
        <v>2771</v>
      </c>
      <c r="J233" s="98">
        <v>83.7</v>
      </c>
    </row>
    <row r="234" spans="1:10" x14ac:dyDescent="0.2">
      <c r="A234" s="10" t="s">
        <v>926</v>
      </c>
      <c r="B234" s="16" t="s">
        <v>927</v>
      </c>
      <c r="C234" s="16" t="s">
        <v>877</v>
      </c>
      <c r="D234" s="14">
        <v>3165</v>
      </c>
      <c r="E234" s="97">
        <v>471</v>
      </c>
      <c r="F234" s="98">
        <v>14.9</v>
      </c>
      <c r="G234" s="97">
        <v>1180</v>
      </c>
      <c r="H234" s="98">
        <v>37.299999999999997</v>
      </c>
      <c r="I234" s="97">
        <v>1651</v>
      </c>
      <c r="J234" s="98">
        <v>52.2</v>
      </c>
    </row>
    <row r="235" spans="1:10" x14ac:dyDescent="0.2">
      <c r="A235" s="10" t="s">
        <v>928</v>
      </c>
      <c r="B235" s="16" t="s">
        <v>929</v>
      </c>
      <c r="C235" s="16" t="s">
        <v>877</v>
      </c>
      <c r="D235" s="14">
        <v>3947</v>
      </c>
      <c r="E235" s="97">
        <v>501</v>
      </c>
      <c r="F235" s="98">
        <v>12.7</v>
      </c>
      <c r="G235" s="97">
        <v>2444</v>
      </c>
      <c r="H235" s="98">
        <v>61.9</v>
      </c>
      <c r="I235" s="97">
        <v>2945</v>
      </c>
      <c r="J235" s="98">
        <v>74.599999999999994</v>
      </c>
    </row>
    <row r="236" spans="1:10" x14ac:dyDescent="0.2">
      <c r="A236" s="10" t="s">
        <v>930</v>
      </c>
      <c r="B236" s="16" t="s">
        <v>931</v>
      </c>
      <c r="C236" s="16" t="s">
        <v>877</v>
      </c>
      <c r="D236" s="14">
        <v>3574</v>
      </c>
      <c r="E236" s="97">
        <v>523</v>
      </c>
      <c r="F236" s="98">
        <v>14.6</v>
      </c>
      <c r="G236" s="97">
        <v>2358</v>
      </c>
      <c r="H236" s="98">
        <v>66</v>
      </c>
      <c r="I236" s="97">
        <v>2881</v>
      </c>
      <c r="J236" s="98">
        <v>80.599999999999994</v>
      </c>
    </row>
    <row r="237" spans="1:10" x14ac:dyDescent="0.2">
      <c r="A237" s="10" t="s">
        <v>932</v>
      </c>
      <c r="B237" s="16" t="s">
        <v>933</v>
      </c>
      <c r="C237" s="16" t="s">
        <v>877</v>
      </c>
      <c r="D237" s="14">
        <v>1669</v>
      </c>
      <c r="E237" s="97">
        <v>339</v>
      </c>
      <c r="F237" s="98">
        <v>20.3</v>
      </c>
      <c r="G237" s="97">
        <v>617</v>
      </c>
      <c r="H237" s="98">
        <v>37</v>
      </c>
      <c r="I237" s="97">
        <v>956</v>
      </c>
      <c r="J237" s="98">
        <v>57.3</v>
      </c>
    </row>
    <row r="238" spans="1:10" x14ac:dyDescent="0.2">
      <c r="A238" s="10" t="s">
        <v>934</v>
      </c>
      <c r="B238" s="16" t="s">
        <v>935</v>
      </c>
      <c r="C238" s="16" t="s">
        <v>877</v>
      </c>
      <c r="D238" s="14">
        <v>2468</v>
      </c>
      <c r="E238" s="97">
        <v>498</v>
      </c>
      <c r="F238" s="98">
        <v>20.2</v>
      </c>
      <c r="G238" s="97">
        <v>1118</v>
      </c>
      <c r="H238" s="98">
        <v>45.3</v>
      </c>
      <c r="I238" s="97">
        <v>1616</v>
      </c>
      <c r="J238" s="98">
        <v>65.5</v>
      </c>
    </row>
    <row r="239" spans="1:10" x14ac:dyDescent="0.2">
      <c r="A239" s="10" t="s">
        <v>936</v>
      </c>
      <c r="B239" s="16" t="s">
        <v>937</v>
      </c>
      <c r="C239" s="16" t="s">
        <v>877</v>
      </c>
      <c r="D239" s="14">
        <v>4092</v>
      </c>
      <c r="E239" s="97">
        <v>703</v>
      </c>
      <c r="F239" s="98">
        <v>17.2</v>
      </c>
      <c r="G239" s="97">
        <v>2374</v>
      </c>
      <c r="H239" s="98">
        <v>58</v>
      </c>
      <c r="I239" s="97">
        <v>3077</v>
      </c>
      <c r="J239" s="98">
        <v>75.2</v>
      </c>
    </row>
    <row r="240" spans="1:10" x14ac:dyDescent="0.2">
      <c r="A240" s="10" t="s">
        <v>938</v>
      </c>
      <c r="B240" s="16" t="s">
        <v>939</v>
      </c>
      <c r="C240" s="16" t="s">
        <v>877</v>
      </c>
      <c r="D240" s="14">
        <v>1663</v>
      </c>
      <c r="E240" s="97">
        <v>363</v>
      </c>
      <c r="F240" s="98">
        <v>21.8</v>
      </c>
      <c r="G240" s="97">
        <v>484</v>
      </c>
      <c r="H240" s="98">
        <v>29.1</v>
      </c>
      <c r="I240" s="97">
        <v>847</v>
      </c>
      <c r="J240" s="98">
        <v>50.9</v>
      </c>
    </row>
    <row r="241" spans="1:10" x14ac:dyDescent="0.2">
      <c r="A241" s="10" t="s">
        <v>940</v>
      </c>
      <c r="B241" s="16" t="s">
        <v>941</v>
      </c>
      <c r="C241" s="16" t="s">
        <v>877</v>
      </c>
      <c r="D241" s="14">
        <v>1955</v>
      </c>
      <c r="E241" s="97">
        <v>293</v>
      </c>
      <c r="F241" s="98">
        <v>15</v>
      </c>
      <c r="G241" s="97">
        <v>749</v>
      </c>
      <c r="H241" s="98">
        <v>38.299999999999997</v>
      </c>
      <c r="I241" s="97">
        <v>1042</v>
      </c>
      <c r="J241" s="98">
        <v>53.3</v>
      </c>
    </row>
    <row r="242" spans="1:10" x14ac:dyDescent="0.2">
      <c r="A242" s="10" t="s">
        <v>942</v>
      </c>
      <c r="B242" s="16" t="s">
        <v>943</v>
      </c>
      <c r="C242" s="16" t="s">
        <v>877</v>
      </c>
      <c r="D242" s="14">
        <v>3773</v>
      </c>
      <c r="E242" s="97">
        <v>916</v>
      </c>
      <c r="F242" s="98">
        <v>24.3</v>
      </c>
      <c r="G242" s="97">
        <v>1394</v>
      </c>
      <c r="H242" s="98">
        <v>36.9</v>
      </c>
      <c r="I242" s="97">
        <v>2310</v>
      </c>
      <c r="J242" s="98">
        <v>61.2</v>
      </c>
    </row>
    <row r="243" spans="1:10" s="23" customFormat="1" ht="15.75" x14ac:dyDescent="0.25">
      <c r="A243" s="21" t="s">
        <v>944</v>
      </c>
      <c r="B243" s="93" t="s">
        <v>945</v>
      </c>
      <c r="C243" s="93" t="s">
        <v>473</v>
      </c>
      <c r="D243" s="22">
        <v>87765</v>
      </c>
      <c r="E243" s="101">
        <v>11436</v>
      </c>
      <c r="F243" s="102">
        <v>13</v>
      </c>
      <c r="G243" s="101">
        <v>20515</v>
      </c>
      <c r="H243" s="102">
        <v>23.4</v>
      </c>
      <c r="I243" s="101">
        <v>31951</v>
      </c>
      <c r="J243" s="102">
        <v>36.4</v>
      </c>
    </row>
    <row r="244" spans="1:10" x14ac:dyDescent="0.2">
      <c r="A244" s="10" t="s">
        <v>946</v>
      </c>
      <c r="B244" s="16" t="s">
        <v>947</v>
      </c>
      <c r="C244" s="16" t="s">
        <v>476</v>
      </c>
      <c r="D244" s="14">
        <v>1362</v>
      </c>
      <c r="E244" s="97">
        <v>176</v>
      </c>
      <c r="F244" s="98">
        <v>12.9</v>
      </c>
      <c r="G244" s="97">
        <v>309</v>
      </c>
      <c r="H244" s="98">
        <v>22.7</v>
      </c>
      <c r="I244" s="97">
        <v>485</v>
      </c>
      <c r="J244" s="98">
        <v>35.6</v>
      </c>
    </row>
    <row r="245" spans="1:10" x14ac:dyDescent="0.2">
      <c r="A245" s="10" t="s">
        <v>948</v>
      </c>
      <c r="B245" s="16" t="s">
        <v>949</v>
      </c>
      <c r="C245" s="16" t="s">
        <v>476</v>
      </c>
      <c r="D245" s="14">
        <v>2118</v>
      </c>
      <c r="E245" s="97">
        <v>397</v>
      </c>
      <c r="F245" s="98">
        <v>18.7</v>
      </c>
      <c r="G245" s="97">
        <v>444</v>
      </c>
      <c r="H245" s="98">
        <v>21</v>
      </c>
      <c r="I245" s="97">
        <v>841</v>
      </c>
      <c r="J245" s="98">
        <v>39.700000000000003</v>
      </c>
    </row>
    <row r="246" spans="1:10" x14ac:dyDescent="0.2">
      <c r="A246" s="10" t="s">
        <v>950</v>
      </c>
      <c r="B246" s="16" t="s">
        <v>951</v>
      </c>
      <c r="C246" s="16" t="s">
        <v>476</v>
      </c>
      <c r="D246" s="14">
        <v>961</v>
      </c>
      <c r="E246" s="97">
        <v>70</v>
      </c>
      <c r="F246" s="98">
        <v>7.3</v>
      </c>
      <c r="G246" s="97">
        <v>81</v>
      </c>
      <c r="H246" s="98">
        <v>8.4</v>
      </c>
      <c r="I246" s="97">
        <v>151</v>
      </c>
      <c r="J246" s="98">
        <v>15.7</v>
      </c>
    </row>
    <row r="247" spans="1:10" x14ac:dyDescent="0.2">
      <c r="A247" s="10" t="s">
        <v>952</v>
      </c>
      <c r="B247" s="16" t="s">
        <v>953</v>
      </c>
      <c r="C247" s="16" t="s">
        <v>476</v>
      </c>
      <c r="D247" s="14">
        <v>2998</v>
      </c>
      <c r="E247" s="97">
        <v>332</v>
      </c>
      <c r="F247" s="98">
        <v>11.1</v>
      </c>
      <c r="G247" s="97">
        <v>719</v>
      </c>
      <c r="H247" s="98">
        <v>24</v>
      </c>
      <c r="I247" s="97">
        <v>1051</v>
      </c>
      <c r="J247" s="98">
        <v>35.1</v>
      </c>
    </row>
    <row r="248" spans="1:10" x14ac:dyDescent="0.2">
      <c r="A248" s="10" t="s">
        <v>954</v>
      </c>
      <c r="B248" s="16" t="s">
        <v>955</v>
      </c>
      <c r="C248" s="16" t="s">
        <v>476</v>
      </c>
      <c r="D248" s="14">
        <v>3202</v>
      </c>
      <c r="E248" s="97">
        <v>437</v>
      </c>
      <c r="F248" s="98">
        <v>13.6</v>
      </c>
      <c r="G248" s="97">
        <v>1387</v>
      </c>
      <c r="H248" s="98">
        <v>43.3</v>
      </c>
      <c r="I248" s="97">
        <v>1824</v>
      </c>
      <c r="J248" s="98">
        <v>57</v>
      </c>
    </row>
    <row r="249" spans="1:10" x14ac:dyDescent="0.2">
      <c r="A249" s="10" t="s">
        <v>956</v>
      </c>
      <c r="B249" s="16" t="s">
        <v>957</v>
      </c>
      <c r="C249" s="16" t="s">
        <v>476</v>
      </c>
      <c r="D249" s="14">
        <v>2052</v>
      </c>
      <c r="E249" s="97">
        <v>204</v>
      </c>
      <c r="F249" s="98">
        <v>9.9</v>
      </c>
      <c r="G249" s="97">
        <v>678</v>
      </c>
      <c r="H249" s="98">
        <v>33</v>
      </c>
      <c r="I249" s="97">
        <v>882</v>
      </c>
      <c r="J249" s="98">
        <v>43</v>
      </c>
    </row>
    <row r="250" spans="1:10" x14ac:dyDescent="0.2">
      <c r="A250" s="10" t="s">
        <v>958</v>
      </c>
      <c r="B250" s="16" t="s">
        <v>959</v>
      </c>
      <c r="C250" s="16" t="s">
        <v>476</v>
      </c>
      <c r="D250" s="14">
        <v>2100</v>
      </c>
      <c r="E250" s="97">
        <v>311</v>
      </c>
      <c r="F250" s="98">
        <v>14.8</v>
      </c>
      <c r="G250" s="97">
        <v>1103</v>
      </c>
      <c r="H250" s="98">
        <v>52.5</v>
      </c>
      <c r="I250" s="97">
        <v>1414</v>
      </c>
      <c r="J250" s="98">
        <v>67.3</v>
      </c>
    </row>
    <row r="251" spans="1:10" x14ac:dyDescent="0.2">
      <c r="A251" s="10" t="s">
        <v>960</v>
      </c>
      <c r="B251" s="16" t="s">
        <v>961</v>
      </c>
      <c r="C251" s="16" t="s">
        <v>476</v>
      </c>
      <c r="D251" s="14">
        <v>2272</v>
      </c>
      <c r="E251" s="97">
        <v>348</v>
      </c>
      <c r="F251" s="98">
        <v>15.3</v>
      </c>
      <c r="G251" s="97">
        <v>1452</v>
      </c>
      <c r="H251" s="98">
        <v>63.9</v>
      </c>
      <c r="I251" s="97">
        <v>1800</v>
      </c>
      <c r="J251" s="98">
        <v>79.2</v>
      </c>
    </row>
    <row r="252" spans="1:10" x14ac:dyDescent="0.2">
      <c r="A252" s="10" t="s">
        <v>962</v>
      </c>
      <c r="B252" s="16" t="s">
        <v>963</v>
      </c>
      <c r="C252" s="16" t="s">
        <v>476</v>
      </c>
      <c r="D252" s="14">
        <v>2523</v>
      </c>
      <c r="E252" s="97">
        <v>291</v>
      </c>
      <c r="F252" s="98">
        <v>11.5</v>
      </c>
      <c r="G252" s="97">
        <v>1022</v>
      </c>
      <c r="H252" s="98">
        <v>40.5</v>
      </c>
      <c r="I252" s="97">
        <v>1313</v>
      </c>
      <c r="J252" s="98">
        <v>52</v>
      </c>
    </row>
    <row r="253" spans="1:10" x14ac:dyDescent="0.2">
      <c r="A253" s="10" t="s">
        <v>964</v>
      </c>
      <c r="B253" s="16" t="s">
        <v>965</v>
      </c>
      <c r="C253" s="16" t="s">
        <v>476</v>
      </c>
      <c r="D253" s="14">
        <v>1363</v>
      </c>
      <c r="E253" s="97">
        <v>149</v>
      </c>
      <c r="F253" s="98">
        <v>10.9</v>
      </c>
      <c r="G253" s="97">
        <v>207</v>
      </c>
      <c r="H253" s="98">
        <v>15.2</v>
      </c>
      <c r="I253" s="97">
        <v>356</v>
      </c>
      <c r="J253" s="98">
        <v>26.1</v>
      </c>
    </row>
    <row r="254" spans="1:10" x14ac:dyDescent="0.2">
      <c r="A254" s="10" t="s">
        <v>966</v>
      </c>
      <c r="B254" s="16" t="s">
        <v>967</v>
      </c>
      <c r="C254" s="16" t="s">
        <v>476</v>
      </c>
      <c r="D254" s="14">
        <v>1343</v>
      </c>
      <c r="E254" s="97">
        <v>293</v>
      </c>
      <c r="F254" s="98">
        <v>21.8</v>
      </c>
      <c r="G254" s="97">
        <v>306</v>
      </c>
      <c r="H254" s="98">
        <v>22.8</v>
      </c>
      <c r="I254" s="97">
        <v>599</v>
      </c>
      <c r="J254" s="98">
        <v>44.6</v>
      </c>
    </row>
    <row r="255" spans="1:10" x14ac:dyDescent="0.2">
      <c r="A255" s="10" t="s">
        <v>968</v>
      </c>
      <c r="B255" s="16" t="s">
        <v>969</v>
      </c>
      <c r="C255" s="16" t="s">
        <v>476</v>
      </c>
      <c r="D255" s="14">
        <v>1652</v>
      </c>
      <c r="E255" s="97">
        <v>231</v>
      </c>
      <c r="F255" s="98">
        <v>14</v>
      </c>
      <c r="G255" s="97">
        <v>363</v>
      </c>
      <c r="H255" s="98">
        <v>22</v>
      </c>
      <c r="I255" s="97">
        <v>594</v>
      </c>
      <c r="J255" s="98">
        <v>36</v>
      </c>
    </row>
    <row r="256" spans="1:10" x14ac:dyDescent="0.2">
      <c r="A256" s="10" t="s">
        <v>970</v>
      </c>
      <c r="B256" s="16" t="s">
        <v>971</v>
      </c>
      <c r="C256" s="16" t="s">
        <v>476</v>
      </c>
      <c r="D256" s="14">
        <v>5658</v>
      </c>
      <c r="E256" s="97">
        <v>1050</v>
      </c>
      <c r="F256" s="98">
        <v>18.600000000000001</v>
      </c>
      <c r="G256" s="97">
        <v>1221</v>
      </c>
      <c r="H256" s="98">
        <v>21.6</v>
      </c>
      <c r="I256" s="97">
        <v>2271</v>
      </c>
      <c r="J256" s="98">
        <v>40.1</v>
      </c>
    </row>
    <row r="257" spans="1:10" s="23" customFormat="1" ht="15.75" x14ac:dyDescent="0.25">
      <c r="A257" s="21" t="s">
        <v>972</v>
      </c>
      <c r="B257" s="93" t="s">
        <v>973</v>
      </c>
      <c r="C257" s="93" t="s">
        <v>545</v>
      </c>
      <c r="D257" s="22">
        <v>4324</v>
      </c>
      <c r="E257" s="101">
        <v>478</v>
      </c>
      <c r="F257" s="102">
        <v>11.1</v>
      </c>
      <c r="G257" s="101">
        <v>558</v>
      </c>
      <c r="H257" s="102">
        <v>12.9</v>
      </c>
      <c r="I257" s="101">
        <v>1036</v>
      </c>
      <c r="J257" s="102">
        <v>24</v>
      </c>
    </row>
    <row r="258" spans="1:10" x14ac:dyDescent="0.2">
      <c r="A258" s="10" t="s">
        <v>974</v>
      </c>
      <c r="B258" s="16" t="s">
        <v>975</v>
      </c>
      <c r="C258" s="16" t="s">
        <v>548</v>
      </c>
      <c r="D258" s="14">
        <v>818</v>
      </c>
      <c r="E258" s="97">
        <v>111</v>
      </c>
      <c r="F258" s="98">
        <v>13.6</v>
      </c>
      <c r="G258" s="97">
        <v>196</v>
      </c>
      <c r="H258" s="98">
        <v>24</v>
      </c>
      <c r="I258" s="97">
        <v>307</v>
      </c>
      <c r="J258" s="98">
        <v>37.5</v>
      </c>
    </row>
    <row r="259" spans="1:10" x14ac:dyDescent="0.2">
      <c r="A259" s="10" t="s">
        <v>976</v>
      </c>
      <c r="B259" s="16" t="s">
        <v>977</v>
      </c>
      <c r="C259" s="16" t="s">
        <v>548</v>
      </c>
      <c r="D259" s="14">
        <v>828</v>
      </c>
      <c r="E259" s="97">
        <v>87</v>
      </c>
      <c r="F259" s="98">
        <v>10.5</v>
      </c>
      <c r="G259" s="97">
        <v>140</v>
      </c>
      <c r="H259" s="98">
        <v>16.899999999999999</v>
      </c>
      <c r="I259" s="97">
        <v>227</v>
      </c>
      <c r="J259" s="98">
        <v>27.4</v>
      </c>
    </row>
    <row r="260" spans="1:10" x14ac:dyDescent="0.2">
      <c r="A260" s="10" t="s">
        <v>978</v>
      </c>
      <c r="B260" s="16" t="s">
        <v>979</v>
      </c>
      <c r="C260" s="16" t="s">
        <v>548</v>
      </c>
      <c r="D260" s="14">
        <v>741</v>
      </c>
      <c r="E260" s="97">
        <v>72</v>
      </c>
      <c r="F260" s="98">
        <v>9.6999999999999993</v>
      </c>
      <c r="G260" s="97">
        <v>99</v>
      </c>
      <c r="H260" s="98">
        <v>13.4</v>
      </c>
      <c r="I260" s="97">
        <v>171</v>
      </c>
      <c r="J260" s="98">
        <v>23.1</v>
      </c>
    </row>
    <row r="261" spans="1:10" x14ac:dyDescent="0.2">
      <c r="A261" s="10" t="s">
        <v>980</v>
      </c>
      <c r="B261" s="16" t="s">
        <v>981</v>
      </c>
      <c r="C261" s="16" t="s">
        <v>548</v>
      </c>
      <c r="D261" s="14">
        <v>634</v>
      </c>
      <c r="E261" s="97">
        <v>53</v>
      </c>
      <c r="F261" s="98">
        <v>8.4</v>
      </c>
      <c r="G261" s="97">
        <v>54</v>
      </c>
      <c r="H261" s="98">
        <v>8.5</v>
      </c>
      <c r="I261" s="97">
        <v>107</v>
      </c>
      <c r="J261" s="98">
        <v>16.899999999999999</v>
      </c>
    </row>
    <row r="262" spans="1:10" x14ac:dyDescent="0.2">
      <c r="A262" s="10" t="s">
        <v>982</v>
      </c>
      <c r="B262" s="16" t="s">
        <v>983</v>
      </c>
      <c r="C262" s="16" t="s">
        <v>548</v>
      </c>
      <c r="D262" s="14">
        <v>1303</v>
      </c>
      <c r="E262" s="97">
        <v>155</v>
      </c>
      <c r="F262" s="98">
        <v>11.9</v>
      </c>
      <c r="G262" s="97">
        <v>69</v>
      </c>
      <c r="H262" s="98">
        <v>5.3</v>
      </c>
      <c r="I262" s="97">
        <v>224</v>
      </c>
      <c r="J262" s="98">
        <v>17.2</v>
      </c>
    </row>
    <row r="263" spans="1:10" s="23" customFormat="1" ht="15.75" x14ac:dyDescent="0.25">
      <c r="A263" s="21" t="s">
        <v>984</v>
      </c>
      <c r="B263" s="93" t="s">
        <v>985</v>
      </c>
      <c r="C263" s="93" t="s">
        <v>545</v>
      </c>
      <c r="D263" s="22">
        <v>12090</v>
      </c>
      <c r="E263" s="101">
        <v>1265</v>
      </c>
      <c r="F263" s="102">
        <v>10.5</v>
      </c>
      <c r="G263" s="101">
        <v>1822</v>
      </c>
      <c r="H263" s="102">
        <v>15.1</v>
      </c>
      <c r="I263" s="101">
        <v>3087</v>
      </c>
      <c r="J263" s="102">
        <v>25.5</v>
      </c>
    </row>
    <row r="264" spans="1:10" x14ac:dyDescent="0.2">
      <c r="A264" s="10" t="s">
        <v>986</v>
      </c>
      <c r="B264" s="16" t="s">
        <v>987</v>
      </c>
      <c r="C264" s="16" t="s">
        <v>548</v>
      </c>
      <c r="D264" s="14">
        <v>1910</v>
      </c>
      <c r="E264" s="97">
        <v>205</v>
      </c>
      <c r="F264" s="98">
        <v>10.7</v>
      </c>
      <c r="G264" s="97">
        <v>441</v>
      </c>
      <c r="H264" s="98">
        <v>23.1</v>
      </c>
      <c r="I264" s="97">
        <v>646</v>
      </c>
      <c r="J264" s="98">
        <v>33.799999999999997</v>
      </c>
    </row>
    <row r="265" spans="1:10" x14ac:dyDescent="0.2">
      <c r="A265" s="10" t="s">
        <v>988</v>
      </c>
      <c r="B265" s="16" t="s">
        <v>989</v>
      </c>
      <c r="C265" s="16" t="s">
        <v>548</v>
      </c>
      <c r="D265" s="14">
        <v>991</v>
      </c>
      <c r="E265" s="97">
        <v>105</v>
      </c>
      <c r="F265" s="98">
        <v>10.6</v>
      </c>
      <c r="G265" s="97">
        <v>91</v>
      </c>
      <c r="H265" s="98">
        <v>9.1999999999999993</v>
      </c>
      <c r="I265" s="97">
        <v>196</v>
      </c>
      <c r="J265" s="98">
        <v>19.8</v>
      </c>
    </row>
    <row r="266" spans="1:10" x14ac:dyDescent="0.2">
      <c r="A266" s="10" t="s">
        <v>990</v>
      </c>
      <c r="B266" s="16" t="s">
        <v>991</v>
      </c>
      <c r="C266" s="16" t="s">
        <v>548</v>
      </c>
      <c r="D266" s="14">
        <v>1242</v>
      </c>
      <c r="E266" s="97">
        <v>124</v>
      </c>
      <c r="F266" s="98">
        <v>10</v>
      </c>
      <c r="G266" s="97">
        <v>136</v>
      </c>
      <c r="H266" s="98">
        <v>11</v>
      </c>
      <c r="I266" s="97">
        <v>260</v>
      </c>
      <c r="J266" s="98">
        <v>20.9</v>
      </c>
    </row>
    <row r="267" spans="1:10" x14ac:dyDescent="0.2">
      <c r="A267" s="10" t="s">
        <v>992</v>
      </c>
      <c r="B267" s="16" t="s">
        <v>993</v>
      </c>
      <c r="C267" s="16" t="s">
        <v>548</v>
      </c>
      <c r="D267" s="14">
        <v>801</v>
      </c>
      <c r="E267" s="97">
        <v>81</v>
      </c>
      <c r="F267" s="98">
        <v>10.1</v>
      </c>
      <c r="G267" s="97">
        <v>65</v>
      </c>
      <c r="H267" s="98">
        <v>8.1</v>
      </c>
      <c r="I267" s="97">
        <v>146</v>
      </c>
      <c r="J267" s="98">
        <v>18.2</v>
      </c>
    </row>
    <row r="268" spans="1:10" x14ac:dyDescent="0.2">
      <c r="A268" s="10" t="s">
        <v>994</v>
      </c>
      <c r="B268" s="16" t="s">
        <v>995</v>
      </c>
      <c r="C268" s="16" t="s">
        <v>548</v>
      </c>
      <c r="D268" s="14">
        <v>622</v>
      </c>
      <c r="E268" s="97">
        <v>51</v>
      </c>
      <c r="F268" s="98">
        <v>8.1999999999999993</v>
      </c>
      <c r="G268" s="97">
        <v>73</v>
      </c>
      <c r="H268" s="98">
        <v>11.7</v>
      </c>
      <c r="I268" s="97">
        <v>124</v>
      </c>
      <c r="J268" s="98">
        <v>19.899999999999999</v>
      </c>
    </row>
    <row r="269" spans="1:10" x14ac:dyDescent="0.2">
      <c r="A269" s="10" t="s">
        <v>996</v>
      </c>
      <c r="B269" s="16" t="s">
        <v>997</v>
      </c>
      <c r="C269" s="16" t="s">
        <v>548</v>
      </c>
      <c r="D269" s="14">
        <v>820</v>
      </c>
      <c r="E269" s="97">
        <v>115</v>
      </c>
      <c r="F269" s="98">
        <v>14</v>
      </c>
      <c r="G269" s="97">
        <v>104</v>
      </c>
      <c r="H269" s="98">
        <v>12.7</v>
      </c>
      <c r="I269" s="97">
        <v>219</v>
      </c>
      <c r="J269" s="98">
        <v>26.7</v>
      </c>
    </row>
    <row r="270" spans="1:10" x14ac:dyDescent="0.2">
      <c r="A270" s="10" t="s">
        <v>998</v>
      </c>
      <c r="B270" s="16" t="s">
        <v>999</v>
      </c>
      <c r="C270" s="16" t="s">
        <v>548</v>
      </c>
      <c r="D270" s="14">
        <v>1106</v>
      </c>
      <c r="E270" s="97">
        <v>79</v>
      </c>
      <c r="F270" s="98">
        <v>7.1</v>
      </c>
      <c r="G270" s="97">
        <v>111</v>
      </c>
      <c r="H270" s="98">
        <v>10</v>
      </c>
      <c r="I270" s="97">
        <v>190</v>
      </c>
      <c r="J270" s="98">
        <v>17.2</v>
      </c>
    </row>
    <row r="271" spans="1:10" x14ac:dyDescent="0.2">
      <c r="A271" s="10" t="s">
        <v>1000</v>
      </c>
      <c r="B271" s="16" t="s">
        <v>1001</v>
      </c>
      <c r="C271" s="16" t="s">
        <v>548</v>
      </c>
      <c r="D271" s="14">
        <v>1105</v>
      </c>
      <c r="E271" s="97">
        <v>109</v>
      </c>
      <c r="F271" s="98">
        <v>9.9</v>
      </c>
      <c r="G271" s="97">
        <v>78</v>
      </c>
      <c r="H271" s="98">
        <v>7.1</v>
      </c>
      <c r="I271" s="97">
        <v>187</v>
      </c>
      <c r="J271" s="98">
        <v>16.899999999999999</v>
      </c>
    </row>
    <row r="272" spans="1:10" x14ac:dyDescent="0.2">
      <c r="A272" s="10" t="s">
        <v>1002</v>
      </c>
      <c r="B272" s="16" t="s">
        <v>1003</v>
      </c>
      <c r="C272" s="16" t="s">
        <v>548</v>
      </c>
      <c r="D272" s="14">
        <v>1118</v>
      </c>
      <c r="E272" s="97">
        <v>111</v>
      </c>
      <c r="F272" s="98">
        <v>9.9</v>
      </c>
      <c r="G272" s="97">
        <v>428</v>
      </c>
      <c r="H272" s="98">
        <v>38.299999999999997</v>
      </c>
      <c r="I272" s="97">
        <v>539</v>
      </c>
      <c r="J272" s="98">
        <v>48.2</v>
      </c>
    </row>
    <row r="273" spans="1:10" x14ac:dyDescent="0.2">
      <c r="A273" s="10" t="s">
        <v>1004</v>
      </c>
      <c r="B273" s="16" t="s">
        <v>1005</v>
      </c>
      <c r="C273" s="16" t="s">
        <v>548</v>
      </c>
      <c r="D273" s="14">
        <v>1184</v>
      </c>
      <c r="E273" s="97">
        <v>136</v>
      </c>
      <c r="F273" s="98">
        <v>11.5</v>
      </c>
      <c r="G273" s="97">
        <v>162</v>
      </c>
      <c r="H273" s="98">
        <v>13.7</v>
      </c>
      <c r="I273" s="97">
        <v>298</v>
      </c>
      <c r="J273" s="98">
        <v>25.2</v>
      </c>
    </row>
    <row r="274" spans="1:10" x14ac:dyDescent="0.2">
      <c r="A274" s="10" t="s">
        <v>1006</v>
      </c>
      <c r="B274" s="16" t="s">
        <v>1007</v>
      </c>
      <c r="C274" s="16" t="s">
        <v>548</v>
      </c>
      <c r="D274" s="14">
        <v>1191</v>
      </c>
      <c r="E274" s="97">
        <v>149</v>
      </c>
      <c r="F274" s="98">
        <v>12.5</v>
      </c>
      <c r="G274" s="97">
        <v>133</v>
      </c>
      <c r="H274" s="98">
        <v>11.2</v>
      </c>
      <c r="I274" s="97">
        <v>282</v>
      </c>
      <c r="J274" s="98">
        <v>23.7</v>
      </c>
    </row>
    <row r="275" spans="1:10" s="23" customFormat="1" ht="15.75" x14ac:dyDescent="0.25">
      <c r="A275" s="21" t="s">
        <v>1008</v>
      </c>
      <c r="B275" s="93" t="s">
        <v>1009</v>
      </c>
      <c r="C275" s="93" t="s">
        <v>545</v>
      </c>
      <c r="D275" s="22">
        <v>15710</v>
      </c>
      <c r="E275" s="101">
        <v>1592</v>
      </c>
      <c r="F275" s="102">
        <v>10.1</v>
      </c>
      <c r="G275" s="101">
        <v>3124</v>
      </c>
      <c r="H275" s="102">
        <v>19.899999999999999</v>
      </c>
      <c r="I275" s="101">
        <v>4716</v>
      </c>
      <c r="J275" s="102">
        <v>30</v>
      </c>
    </row>
    <row r="276" spans="1:10" x14ac:dyDescent="0.2">
      <c r="A276" s="10" t="s">
        <v>1010</v>
      </c>
      <c r="B276" s="16" t="s">
        <v>1011</v>
      </c>
      <c r="C276" s="16" t="s">
        <v>548</v>
      </c>
      <c r="D276" s="14">
        <v>1463</v>
      </c>
      <c r="E276" s="97">
        <v>134</v>
      </c>
      <c r="F276" s="98">
        <v>9.1999999999999993</v>
      </c>
      <c r="G276" s="97">
        <v>343</v>
      </c>
      <c r="H276" s="98">
        <v>23.4</v>
      </c>
      <c r="I276" s="97">
        <v>477</v>
      </c>
      <c r="J276" s="98">
        <v>32.6</v>
      </c>
    </row>
    <row r="277" spans="1:10" x14ac:dyDescent="0.2">
      <c r="A277" s="10" t="s">
        <v>1012</v>
      </c>
      <c r="B277" s="16" t="s">
        <v>1013</v>
      </c>
      <c r="C277" s="16" t="s">
        <v>548</v>
      </c>
      <c r="D277" s="14">
        <v>1246</v>
      </c>
      <c r="E277" s="97">
        <v>154</v>
      </c>
      <c r="F277" s="98">
        <v>12.4</v>
      </c>
      <c r="G277" s="97">
        <v>240</v>
      </c>
      <c r="H277" s="98">
        <v>19.3</v>
      </c>
      <c r="I277" s="97">
        <v>394</v>
      </c>
      <c r="J277" s="98">
        <v>31.6</v>
      </c>
    </row>
    <row r="278" spans="1:10" x14ac:dyDescent="0.2">
      <c r="A278" s="10" t="s">
        <v>1014</v>
      </c>
      <c r="B278" s="16" t="s">
        <v>1015</v>
      </c>
      <c r="C278" s="16" t="s">
        <v>548</v>
      </c>
      <c r="D278" s="14">
        <v>1542</v>
      </c>
      <c r="E278" s="97">
        <v>180</v>
      </c>
      <c r="F278" s="98">
        <v>11.7</v>
      </c>
      <c r="G278" s="97">
        <v>527</v>
      </c>
      <c r="H278" s="98">
        <v>34.200000000000003</v>
      </c>
      <c r="I278" s="97">
        <v>707</v>
      </c>
      <c r="J278" s="98">
        <v>45.8</v>
      </c>
    </row>
    <row r="279" spans="1:10" x14ac:dyDescent="0.2">
      <c r="A279" s="10" t="s">
        <v>1016</v>
      </c>
      <c r="B279" s="16" t="s">
        <v>1017</v>
      </c>
      <c r="C279" s="16" t="s">
        <v>548</v>
      </c>
      <c r="D279" s="14">
        <v>1041</v>
      </c>
      <c r="E279" s="97">
        <v>86</v>
      </c>
      <c r="F279" s="98">
        <v>8.3000000000000007</v>
      </c>
      <c r="G279" s="97">
        <v>128</v>
      </c>
      <c r="H279" s="98">
        <v>12.3</v>
      </c>
      <c r="I279" s="97">
        <v>214</v>
      </c>
      <c r="J279" s="98">
        <v>20.6</v>
      </c>
    </row>
    <row r="280" spans="1:10" x14ac:dyDescent="0.2">
      <c r="A280" s="10" t="s">
        <v>1018</v>
      </c>
      <c r="B280" s="16" t="s">
        <v>1019</v>
      </c>
      <c r="C280" s="16" t="s">
        <v>548</v>
      </c>
      <c r="D280" s="14">
        <v>1261</v>
      </c>
      <c r="E280" s="97">
        <v>151</v>
      </c>
      <c r="F280" s="98">
        <v>12</v>
      </c>
      <c r="G280" s="97">
        <v>458</v>
      </c>
      <c r="H280" s="98">
        <v>36.299999999999997</v>
      </c>
      <c r="I280" s="97">
        <v>609</v>
      </c>
      <c r="J280" s="98">
        <v>48.3</v>
      </c>
    </row>
    <row r="281" spans="1:10" x14ac:dyDescent="0.2">
      <c r="A281" s="10" t="s">
        <v>1020</v>
      </c>
      <c r="B281" s="16" t="s">
        <v>1021</v>
      </c>
      <c r="C281" s="16" t="s">
        <v>548</v>
      </c>
      <c r="D281" s="14">
        <v>1933</v>
      </c>
      <c r="E281" s="97">
        <v>169</v>
      </c>
      <c r="F281" s="98">
        <v>8.6999999999999993</v>
      </c>
      <c r="G281" s="97">
        <v>488</v>
      </c>
      <c r="H281" s="98">
        <v>25.2</v>
      </c>
      <c r="I281" s="97">
        <v>657</v>
      </c>
      <c r="J281" s="98">
        <v>34</v>
      </c>
    </row>
    <row r="282" spans="1:10" x14ac:dyDescent="0.2">
      <c r="A282" s="10" t="s">
        <v>1022</v>
      </c>
      <c r="B282" s="16" t="s">
        <v>1023</v>
      </c>
      <c r="C282" s="16" t="s">
        <v>548</v>
      </c>
      <c r="D282" s="14">
        <v>1047</v>
      </c>
      <c r="E282" s="97">
        <v>117</v>
      </c>
      <c r="F282" s="98">
        <v>11.2</v>
      </c>
      <c r="G282" s="97">
        <v>124</v>
      </c>
      <c r="H282" s="98">
        <v>11.8</v>
      </c>
      <c r="I282" s="97">
        <v>241</v>
      </c>
      <c r="J282" s="98">
        <v>23</v>
      </c>
    </row>
    <row r="283" spans="1:10" x14ac:dyDescent="0.2">
      <c r="A283" s="10" t="s">
        <v>1024</v>
      </c>
      <c r="B283" s="16" t="s">
        <v>1025</v>
      </c>
      <c r="C283" s="16" t="s">
        <v>548</v>
      </c>
      <c r="D283" s="14">
        <v>913</v>
      </c>
      <c r="E283" s="97">
        <v>87</v>
      </c>
      <c r="F283" s="98">
        <v>9.5</v>
      </c>
      <c r="G283" s="97">
        <v>132</v>
      </c>
      <c r="H283" s="98">
        <v>14.5</v>
      </c>
      <c r="I283" s="97">
        <v>219</v>
      </c>
      <c r="J283" s="98">
        <v>24</v>
      </c>
    </row>
    <row r="284" spans="1:10" x14ac:dyDescent="0.2">
      <c r="A284" s="10" t="s">
        <v>1026</v>
      </c>
      <c r="B284" s="16" t="s">
        <v>1027</v>
      </c>
      <c r="C284" s="16" t="s">
        <v>548</v>
      </c>
      <c r="D284" s="14">
        <v>1634</v>
      </c>
      <c r="E284" s="97">
        <v>127</v>
      </c>
      <c r="F284" s="98">
        <v>7.8</v>
      </c>
      <c r="G284" s="97">
        <v>181</v>
      </c>
      <c r="H284" s="98">
        <v>11.1</v>
      </c>
      <c r="I284" s="97">
        <v>308</v>
      </c>
      <c r="J284" s="98">
        <v>18.8</v>
      </c>
    </row>
    <row r="285" spans="1:10" x14ac:dyDescent="0.2">
      <c r="A285" s="10" t="s">
        <v>1028</v>
      </c>
      <c r="B285" s="16" t="s">
        <v>1029</v>
      </c>
      <c r="C285" s="16" t="s">
        <v>548</v>
      </c>
      <c r="D285" s="14">
        <v>1257</v>
      </c>
      <c r="E285" s="97">
        <v>108</v>
      </c>
      <c r="F285" s="98">
        <v>8.6</v>
      </c>
      <c r="G285" s="97">
        <v>205</v>
      </c>
      <c r="H285" s="98">
        <v>16.3</v>
      </c>
      <c r="I285" s="97">
        <v>313</v>
      </c>
      <c r="J285" s="98">
        <v>24.9</v>
      </c>
    </row>
    <row r="286" spans="1:10" x14ac:dyDescent="0.2">
      <c r="A286" s="10" t="s">
        <v>1030</v>
      </c>
      <c r="B286" s="16" t="s">
        <v>1031</v>
      </c>
      <c r="C286" s="16" t="s">
        <v>548</v>
      </c>
      <c r="D286" s="14">
        <v>1332</v>
      </c>
      <c r="E286" s="97">
        <v>142</v>
      </c>
      <c r="F286" s="98">
        <v>10.7</v>
      </c>
      <c r="G286" s="97">
        <v>103</v>
      </c>
      <c r="H286" s="98">
        <v>7.7</v>
      </c>
      <c r="I286" s="97">
        <v>245</v>
      </c>
      <c r="J286" s="98">
        <v>18.399999999999999</v>
      </c>
    </row>
    <row r="287" spans="1:10" x14ac:dyDescent="0.2">
      <c r="A287" s="10" t="s">
        <v>1032</v>
      </c>
      <c r="B287" s="16" t="s">
        <v>1033</v>
      </c>
      <c r="C287" s="16" t="s">
        <v>548</v>
      </c>
      <c r="D287" s="14">
        <v>1041</v>
      </c>
      <c r="E287" s="97">
        <v>137</v>
      </c>
      <c r="F287" s="98">
        <v>13.2</v>
      </c>
      <c r="G287" s="97">
        <v>195</v>
      </c>
      <c r="H287" s="98">
        <v>18.7</v>
      </c>
      <c r="I287" s="97">
        <v>332</v>
      </c>
      <c r="J287" s="98">
        <v>31.9</v>
      </c>
    </row>
    <row r="288" spans="1:10" s="23" customFormat="1" ht="15.75" x14ac:dyDescent="0.25">
      <c r="A288" s="21" t="s">
        <v>1034</v>
      </c>
      <c r="B288" s="93" t="s">
        <v>1035</v>
      </c>
      <c r="C288" s="93" t="s">
        <v>545</v>
      </c>
      <c r="D288" s="22">
        <v>6976</v>
      </c>
      <c r="E288" s="101">
        <v>1068</v>
      </c>
      <c r="F288" s="102">
        <v>15.3</v>
      </c>
      <c r="G288" s="101">
        <v>1757</v>
      </c>
      <c r="H288" s="102">
        <v>25.2</v>
      </c>
      <c r="I288" s="101">
        <v>2825</v>
      </c>
      <c r="J288" s="102">
        <v>40.5</v>
      </c>
    </row>
    <row r="289" spans="1:10" x14ac:dyDescent="0.2">
      <c r="A289" s="10" t="s">
        <v>1036</v>
      </c>
      <c r="B289" s="16" t="s">
        <v>1037</v>
      </c>
      <c r="C289" s="16" t="s">
        <v>548</v>
      </c>
      <c r="D289" s="14">
        <v>1669</v>
      </c>
      <c r="E289" s="97">
        <v>241</v>
      </c>
      <c r="F289" s="98">
        <v>14.4</v>
      </c>
      <c r="G289" s="97">
        <v>460</v>
      </c>
      <c r="H289" s="98">
        <v>27.6</v>
      </c>
      <c r="I289" s="97">
        <v>701</v>
      </c>
      <c r="J289" s="98">
        <v>42</v>
      </c>
    </row>
    <row r="290" spans="1:10" x14ac:dyDescent="0.2">
      <c r="A290" s="10" t="s">
        <v>1038</v>
      </c>
      <c r="B290" s="16" t="s">
        <v>1039</v>
      </c>
      <c r="C290" s="16" t="s">
        <v>548</v>
      </c>
      <c r="D290" s="14">
        <v>1404</v>
      </c>
      <c r="E290" s="97">
        <v>266</v>
      </c>
      <c r="F290" s="98">
        <v>18.899999999999999</v>
      </c>
      <c r="G290" s="97">
        <v>688</v>
      </c>
      <c r="H290" s="98">
        <v>49</v>
      </c>
      <c r="I290" s="97">
        <v>954</v>
      </c>
      <c r="J290" s="98">
        <v>67.900000000000006</v>
      </c>
    </row>
    <row r="291" spans="1:10" x14ac:dyDescent="0.2">
      <c r="A291" s="10" t="s">
        <v>1040</v>
      </c>
      <c r="B291" s="16" t="s">
        <v>1041</v>
      </c>
      <c r="C291" s="16" t="s">
        <v>548</v>
      </c>
      <c r="D291" s="14">
        <v>1419</v>
      </c>
      <c r="E291" s="97">
        <v>224</v>
      </c>
      <c r="F291" s="98">
        <v>15.8</v>
      </c>
      <c r="G291" s="97">
        <v>194</v>
      </c>
      <c r="H291" s="98">
        <v>13.7</v>
      </c>
      <c r="I291" s="97">
        <v>418</v>
      </c>
      <c r="J291" s="98">
        <v>29.5</v>
      </c>
    </row>
    <row r="292" spans="1:10" x14ac:dyDescent="0.2">
      <c r="A292" s="10" t="s">
        <v>1042</v>
      </c>
      <c r="B292" s="16" t="s">
        <v>1043</v>
      </c>
      <c r="C292" s="16" t="s">
        <v>548</v>
      </c>
      <c r="D292" s="14">
        <v>1496</v>
      </c>
      <c r="E292" s="97">
        <v>206</v>
      </c>
      <c r="F292" s="98">
        <v>13.8</v>
      </c>
      <c r="G292" s="97">
        <v>292</v>
      </c>
      <c r="H292" s="98">
        <v>19.5</v>
      </c>
      <c r="I292" s="97">
        <v>498</v>
      </c>
      <c r="J292" s="98">
        <v>33.299999999999997</v>
      </c>
    </row>
    <row r="293" spans="1:10" x14ac:dyDescent="0.2">
      <c r="A293" s="10" t="s">
        <v>1044</v>
      </c>
      <c r="B293" s="16" t="s">
        <v>1045</v>
      </c>
      <c r="C293" s="16" t="s">
        <v>548</v>
      </c>
      <c r="D293" s="14">
        <v>988</v>
      </c>
      <c r="E293" s="97">
        <v>131</v>
      </c>
      <c r="F293" s="98">
        <v>13.3</v>
      </c>
      <c r="G293" s="97">
        <v>123</v>
      </c>
      <c r="H293" s="98">
        <v>12.4</v>
      </c>
      <c r="I293" s="97">
        <v>254</v>
      </c>
      <c r="J293" s="98">
        <v>25.7</v>
      </c>
    </row>
    <row r="294" spans="1:10" s="23" customFormat="1" ht="15.75" x14ac:dyDescent="0.25">
      <c r="A294" s="21" t="s">
        <v>1046</v>
      </c>
      <c r="B294" s="93" t="s">
        <v>1047</v>
      </c>
      <c r="C294" s="93" t="s">
        <v>545</v>
      </c>
      <c r="D294" s="22">
        <v>11362</v>
      </c>
      <c r="E294" s="101">
        <v>1810</v>
      </c>
      <c r="F294" s="102">
        <v>15.9</v>
      </c>
      <c r="G294" s="101">
        <v>2563</v>
      </c>
      <c r="H294" s="102">
        <v>22.6</v>
      </c>
      <c r="I294" s="101">
        <v>4373</v>
      </c>
      <c r="J294" s="102">
        <v>38.5</v>
      </c>
    </row>
    <row r="295" spans="1:10" x14ac:dyDescent="0.2">
      <c r="A295" s="10" t="s">
        <v>1048</v>
      </c>
      <c r="B295" s="16" t="s">
        <v>1049</v>
      </c>
      <c r="C295" s="16" t="s">
        <v>548</v>
      </c>
      <c r="D295" s="14">
        <v>1273</v>
      </c>
      <c r="E295" s="97">
        <v>240</v>
      </c>
      <c r="F295" s="98">
        <v>18.899999999999999</v>
      </c>
      <c r="G295" s="97">
        <v>275</v>
      </c>
      <c r="H295" s="98">
        <v>21.6</v>
      </c>
      <c r="I295" s="97">
        <v>515</v>
      </c>
      <c r="J295" s="98">
        <v>40.5</v>
      </c>
    </row>
    <row r="296" spans="1:10" x14ac:dyDescent="0.2">
      <c r="A296" s="10" t="s">
        <v>1050</v>
      </c>
      <c r="B296" s="16" t="s">
        <v>1051</v>
      </c>
      <c r="C296" s="16" t="s">
        <v>548</v>
      </c>
      <c r="D296" s="14">
        <v>700</v>
      </c>
      <c r="E296" s="97">
        <v>136</v>
      </c>
      <c r="F296" s="98">
        <v>19.399999999999999</v>
      </c>
      <c r="G296" s="97">
        <v>172</v>
      </c>
      <c r="H296" s="98">
        <v>24.6</v>
      </c>
      <c r="I296" s="97">
        <v>308</v>
      </c>
      <c r="J296" s="98">
        <v>44</v>
      </c>
    </row>
    <row r="297" spans="1:10" x14ac:dyDescent="0.2">
      <c r="A297" s="10" t="s">
        <v>1052</v>
      </c>
      <c r="B297" s="16" t="s">
        <v>1053</v>
      </c>
      <c r="C297" s="16" t="s">
        <v>548</v>
      </c>
      <c r="D297" s="14">
        <v>1237</v>
      </c>
      <c r="E297" s="97">
        <v>214</v>
      </c>
      <c r="F297" s="98">
        <v>17.3</v>
      </c>
      <c r="G297" s="97">
        <v>250</v>
      </c>
      <c r="H297" s="98">
        <v>20.2</v>
      </c>
      <c r="I297" s="97">
        <v>464</v>
      </c>
      <c r="J297" s="98">
        <v>37.5</v>
      </c>
    </row>
    <row r="298" spans="1:10" x14ac:dyDescent="0.2">
      <c r="A298" s="10" t="s">
        <v>1054</v>
      </c>
      <c r="B298" s="16" t="s">
        <v>1055</v>
      </c>
      <c r="C298" s="16" t="s">
        <v>548</v>
      </c>
      <c r="D298" s="14">
        <v>707</v>
      </c>
      <c r="E298" s="97">
        <v>117</v>
      </c>
      <c r="F298" s="98">
        <v>16.5</v>
      </c>
      <c r="G298" s="97">
        <v>105</v>
      </c>
      <c r="H298" s="98">
        <v>14.9</v>
      </c>
      <c r="I298" s="97">
        <v>222</v>
      </c>
      <c r="J298" s="98">
        <v>31.4</v>
      </c>
    </row>
    <row r="299" spans="1:10" x14ac:dyDescent="0.2">
      <c r="A299" s="10" t="s">
        <v>1056</v>
      </c>
      <c r="B299" s="16" t="s">
        <v>1057</v>
      </c>
      <c r="C299" s="16" t="s">
        <v>548</v>
      </c>
      <c r="D299" s="14">
        <v>1621</v>
      </c>
      <c r="E299" s="97">
        <v>226</v>
      </c>
      <c r="F299" s="98">
        <v>13.9</v>
      </c>
      <c r="G299" s="97">
        <v>360</v>
      </c>
      <c r="H299" s="98">
        <v>22.2</v>
      </c>
      <c r="I299" s="97">
        <v>586</v>
      </c>
      <c r="J299" s="98">
        <v>36.200000000000003</v>
      </c>
    </row>
    <row r="300" spans="1:10" x14ac:dyDescent="0.2">
      <c r="A300" s="10" t="s">
        <v>1058</v>
      </c>
      <c r="B300" s="16" t="s">
        <v>1059</v>
      </c>
      <c r="C300" s="16" t="s">
        <v>548</v>
      </c>
      <c r="D300" s="14">
        <v>864</v>
      </c>
      <c r="E300" s="97">
        <v>114</v>
      </c>
      <c r="F300" s="98">
        <v>13.2</v>
      </c>
      <c r="G300" s="97">
        <v>198</v>
      </c>
      <c r="H300" s="98">
        <v>22.9</v>
      </c>
      <c r="I300" s="97">
        <v>312</v>
      </c>
      <c r="J300" s="98">
        <v>36.1</v>
      </c>
    </row>
    <row r="301" spans="1:10" x14ac:dyDescent="0.2">
      <c r="A301" s="10" t="s">
        <v>1060</v>
      </c>
      <c r="B301" s="16" t="s">
        <v>1061</v>
      </c>
      <c r="C301" s="16" t="s">
        <v>548</v>
      </c>
      <c r="D301" s="14">
        <v>1090</v>
      </c>
      <c r="E301" s="97">
        <v>123</v>
      </c>
      <c r="F301" s="98">
        <v>11.3</v>
      </c>
      <c r="G301" s="97">
        <v>420</v>
      </c>
      <c r="H301" s="98">
        <v>38.5</v>
      </c>
      <c r="I301" s="97">
        <v>543</v>
      </c>
      <c r="J301" s="98">
        <v>49.8</v>
      </c>
    </row>
    <row r="302" spans="1:10" x14ac:dyDescent="0.2">
      <c r="A302" s="10" t="s">
        <v>1062</v>
      </c>
      <c r="B302" s="16" t="s">
        <v>1063</v>
      </c>
      <c r="C302" s="16" t="s">
        <v>548</v>
      </c>
      <c r="D302" s="14">
        <v>882</v>
      </c>
      <c r="E302" s="97">
        <v>122</v>
      </c>
      <c r="F302" s="98">
        <v>13.8</v>
      </c>
      <c r="G302" s="97">
        <v>206</v>
      </c>
      <c r="H302" s="98">
        <v>23.4</v>
      </c>
      <c r="I302" s="97">
        <v>328</v>
      </c>
      <c r="J302" s="98">
        <v>37.200000000000003</v>
      </c>
    </row>
    <row r="303" spans="1:10" x14ac:dyDescent="0.2">
      <c r="A303" s="10" t="s">
        <v>1064</v>
      </c>
      <c r="B303" s="16" t="s">
        <v>1065</v>
      </c>
      <c r="C303" s="16" t="s">
        <v>548</v>
      </c>
      <c r="D303" s="14">
        <v>801</v>
      </c>
      <c r="E303" s="97">
        <v>117</v>
      </c>
      <c r="F303" s="98">
        <v>14.6</v>
      </c>
      <c r="G303" s="97">
        <v>84</v>
      </c>
      <c r="H303" s="98">
        <v>10.5</v>
      </c>
      <c r="I303" s="97">
        <v>201</v>
      </c>
      <c r="J303" s="98">
        <v>25.1</v>
      </c>
    </row>
    <row r="304" spans="1:10" x14ac:dyDescent="0.2">
      <c r="A304" s="10" t="s">
        <v>1066</v>
      </c>
      <c r="B304" s="16" t="s">
        <v>1067</v>
      </c>
      <c r="C304" s="16" t="s">
        <v>548</v>
      </c>
      <c r="D304" s="14">
        <v>1120</v>
      </c>
      <c r="E304" s="97">
        <v>186</v>
      </c>
      <c r="F304" s="98">
        <v>16.600000000000001</v>
      </c>
      <c r="G304" s="97">
        <v>138</v>
      </c>
      <c r="H304" s="98">
        <v>12.3</v>
      </c>
      <c r="I304" s="97">
        <v>324</v>
      </c>
      <c r="J304" s="98">
        <v>28.9</v>
      </c>
    </row>
    <row r="305" spans="1:10" x14ac:dyDescent="0.2">
      <c r="A305" s="10" t="s">
        <v>1068</v>
      </c>
      <c r="B305" s="16" t="s">
        <v>1069</v>
      </c>
      <c r="C305" s="16" t="s">
        <v>548</v>
      </c>
      <c r="D305" s="14">
        <v>1067</v>
      </c>
      <c r="E305" s="97">
        <v>215</v>
      </c>
      <c r="F305" s="98">
        <v>20.100000000000001</v>
      </c>
      <c r="G305" s="97">
        <v>355</v>
      </c>
      <c r="H305" s="98">
        <v>33.299999999999997</v>
      </c>
      <c r="I305" s="97">
        <v>570</v>
      </c>
      <c r="J305" s="98">
        <v>53.4</v>
      </c>
    </row>
    <row r="306" spans="1:10" s="23" customFormat="1" ht="15.75" x14ac:dyDescent="0.25">
      <c r="A306" s="21" t="s">
        <v>1070</v>
      </c>
      <c r="B306" s="93" t="s">
        <v>1071</v>
      </c>
      <c r="C306" s="93" t="s">
        <v>545</v>
      </c>
      <c r="D306" s="22">
        <v>7699</v>
      </c>
      <c r="E306" s="101">
        <v>934</v>
      </c>
      <c r="F306" s="102">
        <v>12.1</v>
      </c>
      <c r="G306" s="101">
        <v>1399</v>
      </c>
      <c r="H306" s="102">
        <v>18.2</v>
      </c>
      <c r="I306" s="101">
        <v>2333</v>
      </c>
      <c r="J306" s="102">
        <v>30.3</v>
      </c>
    </row>
    <row r="307" spans="1:10" x14ac:dyDescent="0.2">
      <c r="A307" s="10" t="s">
        <v>1072</v>
      </c>
      <c r="B307" s="16" t="s">
        <v>1073</v>
      </c>
      <c r="C307" s="16" t="s">
        <v>548</v>
      </c>
      <c r="D307" s="14">
        <v>481</v>
      </c>
      <c r="E307" s="97">
        <v>45</v>
      </c>
      <c r="F307" s="98">
        <v>9.4</v>
      </c>
      <c r="G307" s="97">
        <v>52</v>
      </c>
      <c r="H307" s="98">
        <v>10.8</v>
      </c>
      <c r="I307" s="97">
        <v>97</v>
      </c>
      <c r="J307" s="98">
        <v>20.2</v>
      </c>
    </row>
    <row r="308" spans="1:10" x14ac:dyDescent="0.2">
      <c r="A308" s="10" t="s">
        <v>1074</v>
      </c>
      <c r="B308" s="16" t="s">
        <v>1075</v>
      </c>
      <c r="C308" s="16" t="s">
        <v>548</v>
      </c>
      <c r="D308" s="14">
        <v>1243</v>
      </c>
      <c r="E308" s="97">
        <v>113</v>
      </c>
      <c r="F308" s="98">
        <v>9.1</v>
      </c>
      <c r="G308" s="97">
        <v>203</v>
      </c>
      <c r="H308" s="98">
        <v>16.3</v>
      </c>
      <c r="I308" s="97">
        <v>316</v>
      </c>
      <c r="J308" s="98">
        <v>25.4</v>
      </c>
    </row>
    <row r="309" spans="1:10" x14ac:dyDescent="0.2">
      <c r="A309" s="10" t="s">
        <v>1076</v>
      </c>
      <c r="B309" s="16" t="s">
        <v>1077</v>
      </c>
      <c r="C309" s="16" t="s">
        <v>548</v>
      </c>
      <c r="D309" s="14">
        <v>975</v>
      </c>
      <c r="E309" s="97">
        <v>116</v>
      </c>
      <c r="F309" s="98">
        <v>11.9</v>
      </c>
      <c r="G309" s="97">
        <v>129</v>
      </c>
      <c r="H309" s="98">
        <v>13.2</v>
      </c>
      <c r="I309" s="97">
        <v>245</v>
      </c>
      <c r="J309" s="98">
        <v>25.1</v>
      </c>
    </row>
    <row r="310" spans="1:10" x14ac:dyDescent="0.2">
      <c r="A310" s="10" t="s">
        <v>1078</v>
      </c>
      <c r="B310" s="16" t="s">
        <v>1079</v>
      </c>
      <c r="C310" s="16" t="s">
        <v>548</v>
      </c>
      <c r="D310" s="14">
        <v>1376</v>
      </c>
      <c r="E310" s="97">
        <v>195</v>
      </c>
      <c r="F310" s="98">
        <v>14.2</v>
      </c>
      <c r="G310" s="97">
        <v>555</v>
      </c>
      <c r="H310" s="98">
        <v>40.299999999999997</v>
      </c>
      <c r="I310" s="97">
        <v>750</v>
      </c>
      <c r="J310" s="98">
        <v>54.5</v>
      </c>
    </row>
    <row r="311" spans="1:10" x14ac:dyDescent="0.2">
      <c r="A311" s="10" t="s">
        <v>1080</v>
      </c>
      <c r="B311" s="16" t="s">
        <v>1081</v>
      </c>
      <c r="C311" s="16" t="s">
        <v>548</v>
      </c>
      <c r="D311" s="14">
        <v>1191</v>
      </c>
      <c r="E311" s="97">
        <v>149</v>
      </c>
      <c r="F311" s="98">
        <v>12.5</v>
      </c>
      <c r="G311" s="97">
        <v>127</v>
      </c>
      <c r="H311" s="98">
        <v>10.7</v>
      </c>
      <c r="I311" s="97">
        <v>276</v>
      </c>
      <c r="J311" s="98">
        <v>23.2</v>
      </c>
    </row>
    <row r="312" spans="1:10" x14ac:dyDescent="0.2">
      <c r="A312" s="10" t="s">
        <v>1082</v>
      </c>
      <c r="B312" s="16" t="s">
        <v>1083</v>
      </c>
      <c r="C312" s="16" t="s">
        <v>548</v>
      </c>
      <c r="D312" s="14">
        <v>1564</v>
      </c>
      <c r="E312" s="97">
        <v>218</v>
      </c>
      <c r="F312" s="98">
        <v>13.9</v>
      </c>
      <c r="G312" s="97">
        <v>210</v>
      </c>
      <c r="H312" s="98">
        <v>13.4</v>
      </c>
      <c r="I312" s="97">
        <v>428</v>
      </c>
      <c r="J312" s="98">
        <v>27.4</v>
      </c>
    </row>
    <row r="313" spans="1:10" x14ac:dyDescent="0.2">
      <c r="A313" s="10" t="s">
        <v>1084</v>
      </c>
      <c r="B313" s="16" t="s">
        <v>1085</v>
      </c>
      <c r="C313" s="16" t="s">
        <v>548</v>
      </c>
      <c r="D313" s="14">
        <v>869</v>
      </c>
      <c r="E313" s="97">
        <v>98</v>
      </c>
      <c r="F313" s="98">
        <v>11.3</v>
      </c>
      <c r="G313" s="97">
        <v>123</v>
      </c>
      <c r="H313" s="98">
        <v>14.2</v>
      </c>
      <c r="I313" s="97">
        <v>221</v>
      </c>
      <c r="J313" s="98">
        <v>25.4</v>
      </c>
    </row>
    <row r="314" spans="1:10" s="23" customFormat="1" ht="15.75" x14ac:dyDescent="0.25">
      <c r="A314" s="21" t="s">
        <v>1086</v>
      </c>
      <c r="B314" s="93" t="s">
        <v>1087</v>
      </c>
      <c r="C314" s="93" t="s">
        <v>473</v>
      </c>
      <c r="D314" s="22">
        <v>46978</v>
      </c>
      <c r="E314" s="101">
        <v>4999</v>
      </c>
      <c r="F314" s="102">
        <v>10.6</v>
      </c>
      <c r="G314" s="101">
        <v>7678</v>
      </c>
      <c r="H314" s="102">
        <v>16.3</v>
      </c>
      <c r="I314" s="101">
        <v>12677</v>
      </c>
      <c r="J314" s="102">
        <v>27</v>
      </c>
    </row>
    <row r="315" spans="1:10" x14ac:dyDescent="0.2">
      <c r="A315" s="10" t="s">
        <v>1088</v>
      </c>
      <c r="B315" s="16" t="s">
        <v>1089</v>
      </c>
      <c r="C315" s="16" t="s">
        <v>476</v>
      </c>
      <c r="D315" s="14">
        <v>1438</v>
      </c>
      <c r="E315" s="97">
        <v>193</v>
      </c>
      <c r="F315" s="98">
        <v>13.4</v>
      </c>
      <c r="G315" s="97">
        <v>174</v>
      </c>
      <c r="H315" s="98">
        <v>12.1</v>
      </c>
      <c r="I315" s="97">
        <v>367</v>
      </c>
      <c r="J315" s="98">
        <v>25.5</v>
      </c>
    </row>
    <row r="316" spans="1:10" x14ac:dyDescent="0.2">
      <c r="A316" s="10" t="s">
        <v>1090</v>
      </c>
      <c r="B316" s="16" t="s">
        <v>1091</v>
      </c>
      <c r="C316" s="16" t="s">
        <v>476</v>
      </c>
      <c r="D316" s="14">
        <v>3148</v>
      </c>
      <c r="E316" s="97">
        <v>393</v>
      </c>
      <c r="F316" s="98">
        <v>12.5</v>
      </c>
      <c r="G316" s="97">
        <v>799</v>
      </c>
      <c r="H316" s="98">
        <v>25.4</v>
      </c>
      <c r="I316" s="97">
        <v>1192</v>
      </c>
      <c r="J316" s="98">
        <v>37.9</v>
      </c>
    </row>
    <row r="317" spans="1:10" x14ac:dyDescent="0.2">
      <c r="A317" s="10" t="s">
        <v>1092</v>
      </c>
      <c r="B317" s="16" t="s">
        <v>1093</v>
      </c>
      <c r="C317" s="16" t="s">
        <v>476</v>
      </c>
      <c r="D317" s="14">
        <v>4934</v>
      </c>
      <c r="E317" s="97">
        <v>746</v>
      </c>
      <c r="F317" s="98">
        <v>15.1</v>
      </c>
      <c r="G317" s="97">
        <v>1264</v>
      </c>
      <c r="H317" s="98">
        <v>25.6</v>
      </c>
      <c r="I317" s="97">
        <v>2010</v>
      </c>
      <c r="J317" s="98">
        <v>40.700000000000003</v>
      </c>
    </row>
    <row r="318" spans="1:10" x14ac:dyDescent="0.2">
      <c r="A318" s="10" t="s">
        <v>1094</v>
      </c>
      <c r="B318" s="16" t="s">
        <v>1095</v>
      </c>
      <c r="C318" s="16" t="s">
        <v>476</v>
      </c>
      <c r="D318" s="14">
        <v>4185</v>
      </c>
      <c r="E318" s="97">
        <v>341</v>
      </c>
      <c r="F318" s="98">
        <v>8.1</v>
      </c>
      <c r="G318" s="97">
        <v>257</v>
      </c>
      <c r="H318" s="98">
        <v>6.1</v>
      </c>
      <c r="I318" s="97">
        <v>598</v>
      </c>
      <c r="J318" s="98">
        <v>14.3</v>
      </c>
    </row>
    <row r="319" spans="1:10" x14ac:dyDescent="0.2">
      <c r="A319" s="10" t="s">
        <v>1096</v>
      </c>
      <c r="B319" s="16" t="s">
        <v>1097</v>
      </c>
      <c r="C319" s="16" t="s">
        <v>476</v>
      </c>
      <c r="D319" s="14">
        <v>2510</v>
      </c>
      <c r="E319" s="97">
        <v>225</v>
      </c>
      <c r="F319" s="98">
        <v>9</v>
      </c>
      <c r="G319" s="97">
        <v>165</v>
      </c>
      <c r="H319" s="98">
        <v>6.6</v>
      </c>
      <c r="I319" s="97">
        <v>390</v>
      </c>
      <c r="J319" s="98">
        <v>15.5</v>
      </c>
    </row>
    <row r="320" spans="1:10" x14ac:dyDescent="0.2">
      <c r="A320" s="10" t="s">
        <v>1098</v>
      </c>
      <c r="B320" s="16" t="s">
        <v>1099</v>
      </c>
      <c r="C320" s="16" t="s">
        <v>476</v>
      </c>
      <c r="D320" s="14">
        <v>1743</v>
      </c>
      <c r="E320" s="97">
        <v>191</v>
      </c>
      <c r="F320" s="98">
        <v>11</v>
      </c>
      <c r="G320" s="97">
        <v>250</v>
      </c>
      <c r="H320" s="98">
        <v>14.3</v>
      </c>
      <c r="I320" s="97">
        <v>441</v>
      </c>
      <c r="J320" s="98">
        <v>25.3</v>
      </c>
    </row>
    <row r="321" spans="1:10" x14ac:dyDescent="0.2">
      <c r="A321" s="10" t="s">
        <v>1100</v>
      </c>
      <c r="B321" s="16" t="s">
        <v>1101</v>
      </c>
      <c r="C321" s="16" t="s">
        <v>476</v>
      </c>
      <c r="D321" s="14">
        <v>2257</v>
      </c>
      <c r="E321" s="97">
        <v>200</v>
      </c>
      <c r="F321" s="98">
        <v>8.9</v>
      </c>
      <c r="G321" s="97">
        <v>447</v>
      </c>
      <c r="H321" s="98">
        <v>19.8</v>
      </c>
      <c r="I321" s="97">
        <v>647</v>
      </c>
      <c r="J321" s="98">
        <v>28.7</v>
      </c>
    </row>
    <row r="322" spans="1:10" x14ac:dyDescent="0.2">
      <c r="A322" s="10" t="s">
        <v>1102</v>
      </c>
      <c r="B322" s="16" t="s">
        <v>1103</v>
      </c>
      <c r="C322" s="16" t="s">
        <v>476</v>
      </c>
      <c r="D322" s="14">
        <v>2864</v>
      </c>
      <c r="E322" s="97">
        <v>319</v>
      </c>
      <c r="F322" s="98">
        <v>11.1</v>
      </c>
      <c r="G322" s="97">
        <v>554</v>
      </c>
      <c r="H322" s="98">
        <v>19.3</v>
      </c>
      <c r="I322" s="97">
        <v>873</v>
      </c>
      <c r="J322" s="98">
        <v>30.5</v>
      </c>
    </row>
    <row r="323" spans="1:10" x14ac:dyDescent="0.2">
      <c r="A323" s="10" t="s">
        <v>1104</v>
      </c>
      <c r="B323" s="16" t="s">
        <v>1105</v>
      </c>
      <c r="C323" s="16" t="s">
        <v>476</v>
      </c>
      <c r="D323" s="14">
        <v>2416</v>
      </c>
      <c r="E323" s="97">
        <v>232</v>
      </c>
      <c r="F323" s="98">
        <v>9.6</v>
      </c>
      <c r="G323" s="97">
        <v>926</v>
      </c>
      <c r="H323" s="98">
        <v>38.299999999999997</v>
      </c>
      <c r="I323" s="97">
        <v>1158</v>
      </c>
      <c r="J323" s="98">
        <v>47.9</v>
      </c>
    </row>
    <row r="324" spans="1:10" x14ac:dyDescent="0.2">
      <c r="A324" s="10" t="s">
        <v>1106</v>
      </c>
      <c r="B324" s="16" t="s">
        <v>1107</v>
      </c>
      <c r="C324" s="16" t="s">
        <v>476</v>
      </c>
      <c r="D324" s="14">
        <v>949</v>
      </c>
      <c r="E324" s="97">
        <v>73</v>
      </c>
      <c r="F324" s="98">
        <v>7.7</v>
      </c>
      <c r="G324" s="97">
        <v>126</v>
      </c>
      <c r="H324" s="98">
        <v>13.3</v>
      </c>
      <c r="I324" s="97">
        <v>199</v>
      </c>
      <c r="J324" s="98">
        <v>21</v>
      </c>
    </row>
    <row r="325" spans="1:10" x14ac:dyDescent="0.2">
      <c r="A325" s="10" t="s">
        <v>1108</v>
      </c>
      <c r="B325" s="16" t="s">
        <v>1109</v>
      </c>
      <c r="C325" s="16" t="s">
        <v>476</v>
      </c>
      <c r="D325" s="14">
        <v>4274</v>
      </c>
      <c r="E325" s="97">
        <v>543</v>
      </c>
      <c r="F325" s="98">
        <v>12.7</v>
      </c>
      <c r="G325" s="97">
        <v>578</v>
      </c>
      <c r="H325" s="98">
        <v>13.5</v>
      </c>
      <c r="I325" s="97">
        <v>1121</v>
      </c>
      <c r="J325" s="98">
        <v>26.2</v>
      </c>
    </row>
    <row r="326" spans="1:10" x14ac:dyDescent="0.2">
      <c r="A326" s="10" t="s">
        <v>1110</v>
      </c>
      <c r="B326" s="16" t="s">
        <v>1111</v>
      </c>
      <c r="C326" s="16" t="s">
        <v>476</v>
      </c>
      <c r="D326" s="14">
        <v>4555</v>
      </c>
      <c r="E326" s="97">
        <v>360</v>
      </c>
      <c r="F326" s="98">
        <v>7.9</v>
      </c>
      <c r="G326" s="97">
        <v>708</v>
      </c>
      <c r="H326" s="98">
        <v>15.5</v>
      </c>
      <c r="I326" s="97">
        <v>1068</v>
      </c>
      <c r="J326" s="98">
        <v>23.4</v>
      </c>
    </row>
    <row r="327" spans="1:10" s="23" customFormat="1" ht="15.75" x14ac:dyDescent="0.25">
      <c r="A327" s="21" t="s">
        <v>1112</v>
      </c>
      <c r="B327" s="93" t="s">
        <v>1113</v>
      </c>
      <c r="C327" s="93" t="s">
        <v>545</v>
      </c>
      <c r="D327" s="22">
        <v>5994</v>
      </c>
      <c r="E327" s="101">
        <v>571</v>
      </c>
      <c r="F327" s="102">
        <v>9.5</v>
      </c>
      <c r="G327" s="101">
        <v>549</v>
      </c>
      <c r="H327" s="102">
        <v>9.1999999999999993</v>
      </c>
      <c r="I327" s="101">
        <v>1120</v>
      </c>
      <c r="J327" s="102">
        <v>18.7</v>
      </c>
    </row>
    <row r="328" spans="1:10" x14ac:dyDescent="0.2">
      <c r="A328" s="10" t="s">
        <v>1114</v>
      </c>
      <c r="B328" s="16" t="s">
        <v>1115</v>
      </c>
      <c r="C328" s="16" t="s">
        <v>548</v>
      </c>
      <c r="D328" s="14">
        <v>1100</v>
      </c>
      <c r="E328" s="97">
        <v>100</v>
      </c>
      <c r="F328" s="98">
        <v>9.1</v>
      </c>
      <c r="G328" s="97">
        <v>108</v>
      </c>
      <c r="H328" s="98">
        <v>9.8000000000000007</v>
      </c>
      <c r="I328" s="97">
        <v>208</v>
      </c>
      <c r="J328" s="98">
        <v>18.899999999999999</v>
      </c>
    </row>
    <row r="329" spans="1:10" x14ac:dyDescent="0.2">
      <c r="A329" s="10" t="s">
        <v>1116</v>
      </c>
      <c r="B329" s="16" t="s">
        <v>1117</v>
      </c>
      <c r="C329" s="16" t="s">
        <v>548</v>
      </c>
      <c r="D329" s="14">
        <v>1026</v>
      </c>
      <c r="E329" s="97">
        <v>135</v>
      </c>
      <c r="F329" s="98">
        <v>13.2</v>
      </c>
      <c r="G329" s="97">
        <v>228</v>
      </c>
      <c r="H329" s="98">
        <v>22.2</v>
      </c>
      <c r="I329" s="97">
        <v>363</v>
      </c>
      <c r="J329" s="98">
        <v>35.4</v>
      </c>
    </row>
    <row r="330" spans="1:10" x14ac:dyDescent="0.2">
      <c r="A330" s="10" t="s">
        <v>1118</v>
      </c>
      <c r="B330" s="16" t="s">
        <v>1119</v>
      </c>
      <c r="C330" s="16" t="s">
        <v>548</v>
      </c>
      <c r="D330" s="14">
        <v>633</v>
      </c>
      <c r="E330" s="97">
        <v>57</v>
      </c>
      <c r="F330" s="98">
        <v>9</v>
      </c>
      <c r="G330" s="97">
        <v>40</v>
      </c>
      <c r="H330" s="98">
        <v>6.3</v>
      </c>
      <c r="I330" s="97">
        <v>97</v>
      </c>
      <c r="J330" s="98">
        <v>15.3</v>
      </c>
    </row>
    <row r="331" spans="1:10" x14ac:dyDescent="0.2">
      <c r="A331" s="10" t="s">
        <v>1120</v>
      </c>
      <c r="B331" s="16" t="s">
        <v>1121</v>
      </c>
      <c r="C331" s="16" t="s">
        <v>548</v>
      </c>
      <c r="D331" s="14">
        <v>752</v>
      </c>
      <c r="E331" s="97">
        <v>69</v>
      </c>
      <c r="F331" s="98">
        <v>9.1999999999999993</v>
      </c>
      <c r="G331" s="97">
        <v>55</v>
      </c>
      <c r="H331" s="98">
        <v>7.3</v>
      </c>
      <c r="I331" s="97">
        <v>124</v>
      </c>
      <c r="J331" s="98">
        <v>16.5</v>
      </c>
    </row>
    <row r="332" spans="1:10" x14ac:dyDescent="0.2">
      <c r="A332" s="10" t="s">
        <v>1122</v>
      </c>
      <c r="B332" s="16" t="s">
        <v>1123</v>
      </c>
      <c r="C332" s="16" t="s">
        <v>548</v>
      </c>
      <c r="D332" s="14">
        <v>662</v>
      </c>
      <c r="E332" s="97">
        <v>77</v>
      </c>
      <c r="F332" s="98">
        <v>11.6</v>
      </c>
      <c r="G332" s="97">
        <v>30</v>
      </c>
      <c r="H332" s="98">
        <v>4.5</v>
      </c>
      <c r="I332" s="97">
        <v>107</v>
      </c>
      <c r="J332" s="98">
        <v>16.2</v>
      </c>
    </row>
    <row r="333" spans="1:10" x14ac:dyDescent="0.2">
      <c r="A333" s="10" t="s">
        <v>1124</v>
      </c>
      <c r="B333" s="16" t="s">
        <v>1125</v>
      </c>
      <c r="C333" s="16" t="s">
        <v>548</v>
      </c>
      <c r="D333" s="14">
        <v>935</v>
      </c>
      <c r="E333" s="97">
        <v>76</v>
      </c>
      <c r="F333" s="98">
        <v>8.1</v>
      </c>
      <c r="G333" s="97">
        <v>48</v>
      </c>
      <c r="H333" s="98">
        <v>5.0999999999999996</v>
      </c>
      <c r="I333" s="97">
        <v>124</v>
      </c>
      <c r="J333" s="98">
        <v>13.3</v>
      </c>
    </row>
    <row r="334" spans="1:10" x14ac:dyDescent="0.2">
      <c r="A334" s="10" t="s">
        <v>1126</v>
      </c>
      <c r="B334" s="16" t="s">
        <v>1127</v>
      </c>
      <c r="C334" s="16" t="s">
        <v>548</v>
      </c>
      <c r="D334" s="14">
        <v>507</v>
      </c>
      <c r="E334" s="97">
        <v>23</v>
      </c>
      <c r="F334" s="98">
        <v>4.5</v>
      </c>
      <c r="G334" s="97">
        <v>18</v>
      </c>
      <c r="H334" s="98">
        <v>3.6</v>
      </c>
      <c r="I334" s="97">
        <v>41</v>
      </c>
      <c r="J334" s="98">
        <v>8.1</v>
      </c>
    </row>
    <row r="335" spans="1:10" x14ac:dyDescent="0.2">
      <c r="A335" s="10" t="s">
        <v>1128</v>
      </c>
      <c r="B335" s="16" t="s">
        <v>1129</v>
      </c>
      <c r="C335" s="16" t="s">
        <v>548</v>
      </c>
      <c r="D335" s="14">
        <v>379</v>
      </c>
      <c r="E335" s="97">
        <v>34</v>
      </c>
      <c r="F335" s="98">
        <v>9</v>
      </c>
      <c r="G335" s="97">
        <v>22</v>
      </c>
      <c r="H335" s="98">
        <v>5.8</v>
      </c>
      <c r="I335" s="97">
        <v>56</v>
      </c>
      <c r="J335" s="98">
        <v>14.8</v>
      </c>
    </row>
    <row r="336" spans="1:10" s="23" customFormat="1" ht="15.75" x14ac:dyDescent="0.25">
      <c r="A336" s="21" t="s">
        <v>1130</v>
      </c>
      <c r="B336" s="93" t="s">
        <v>1131</v>
      </c>
      <c r="C336" s="93" t="s">
        <v>545</v>
      </c>
      <c r="D336" s="22">
        <v>5711</v>
      </c>
      <c r="E336" s="101">
        <v>612</v>
      </c>
      <c r="F336" s="102">
        <v>10.7</v>
      </c>
      <c r="G336" s="101">
        <v>881</v>
      </c>
      <c r="H336" s="102">
        <v>15.4</v>
      </c>
      <c r="I336" s="101">
        <v>1493</v>
      </c>
      <c r="J336" s="102">
        <v>26.1</v>
      </c>
    </row>
    <row r="337" spans="1:10" x14ac:dyDescent="0.2">
      <c r="A337" s="10" t="s">
        <v>1132</v>
      </c>
      <c r="B337" s="16" t="s">
        <v>1133</v>
      </c>
      <c r="C337" s="16" t="s">
        <v>548</v>
      </c>
      <c r="D337" s="14">
        <v>977</v>
      </c>
      <c r="E337" s="97">
        <v>111</v>
      </c>
      <c r="F337" s="98">
        <v>11.4</v>
      </c>
      <c r="G337" s="97">
        <v>203</v>
      </c>
      <c r="H337" s="98">
        <v>20.8</v>
      </c>
      <c r="I337" s="97">
        <v>314</v>
      </c>
      <c r="J337" s="98">
        <v>32.1</v>
      </c>
    </row>
    <row r="338" spans="1:10" x14ac:dyDescent="0.2">
      <c r="A338" s="10" t="s">
        <v>1134</v>
      </c>
      <c r="B338" s="16" t="s">
        <v>1135</v>
      </c>
      <c r="C338" s="16" t="s">
        <v>548</v>
      </c>
      <c r="D338" s="14">
        <v>627</v>
      </c>
      <c r="E338" s="97">
        <v>85</v>
      </c>
      <c r="F338" s="98">
        <v>13.6</v>
      </c>
      <c r="G338" s="97">
        <v>42</v>
      </c>
      <c r="H338" s="98">
        <v>6.7</v>
      </c>
      <c r="I338" s="97">
        <v>127</v>
      </c>
      <c r="J338" s="98">
        <v>20.3</v>
      </c>
    </row>
    <row r="339" spans="1:10" x14ac:dyDescent="0.2">
      <c r="A339" s="10" t="s">
        <v>1136</v>
      </c>
      <c r="B339" s="16" t="s">
        <v>1137</v>
      </c>
      <c r="C339" s="16" t="s">
        <v>548</v>
      </c>
      <c r="D339" s="14">
        <v>686</v>
      </c>
      <c r="E339" s="97">
        <v>61</v>
      </c>
      <c r="F339" s="98">
        <v>8.9</v>
      </c>
      <c r="G339" s="97">
        <v>37</v>
      </c>
      <c r="H339" s="98">
        <v>5.4</v>
      </c>
      <c r="I339" s="97">
        <v>98</v>
      </c>
      <c r="J339" s="98">
        <v>14.3</v>
      </c>
    </row>
    <row r="340" spans="1:10" x14ac:dyDescent="0.2">
      <c r="A340" s="10" t="s">
        <v>1138</v>
      </c>
      <c r="B340" s="16" t="s">
        <v>1139</v>
      </c>
      <c r="C340" s="16" t="s">
        <v>548</v>
      </c>
      <c r="D340" s="14">
        <v>1419</v>
      </c>
      <c r="E340" s="97">
        <v>130</v>
      </c>
      <c r="F340" s="98">
        <v>9.1999999999999993</v>
      </c>
      <c r="G340" s="97">
        <v>436</v>
      </c>
      <c r="H340" s="98">
        <v>30.7</v>
      </c>
      <c r="I340" s="97">
        <v>566</v>
      </c>
      <c r="J340" s="98">
        <v>39.9</v>
      </c>
    </row>
    <row r="341" spans="1:10" x14ac:dyDescent="0.2">
      <c r="A341" s="10" t="s">
        <v>1140</v>
      </c>
      <c r="B341" s="16" t="s">
        <v>1141</v>
      </c>
      <c r="C341" s="16" t="s">
        <v>548</v>
      </c>
      <c r="D341" s="14">
        <v>1011</v>
      </c>
      <c r="E341" s="97">
        <v>121</v>
      </c>
      <c r="F341" s="98">
        <v>12</v>
      </c>
      <c r="G341" s="97">
        <v>62</v>
      </c>
      <c r="H341" s="98">
        <v>6.1</v>
      </c>
      <c r="I341" s="97">
        <v>183</v>
      </c>
      <c r="J341" s="98">
        <v>18.100000000000001</v>
      </c>
    </row>
    <row r="342" spans="1:10" x14ac:dyDescent="0.2">
      <c r="A342" s="10" t="s">
        <v>1142</v>
      </c>
      <c r="B342" s="16" t="s">
        <v>1143</v>
      </c>
      <c r="C342" s="16" t="s">
        <v>548</v>
      </c>
      <c r="D342" s="14">
        <v>991</v>
      </c>
      <c r="E342" s="97">
        <v>104</v>
      </c>
      <c r="F342" s="98">
        <v>10.5</v>
      </c>
      <c r="G342" s="97">
        <v>101</v>
      </c>
      <c r="H342" s="98">
        <v>10.199999999999999</v>
      </c>
      <c r="I342" s="97">
        <v>205</v>
      </c>
      <c r="J342" s="98">
        <v>20.7</v>
      </c>
    </row>
    <row r="343" spans="1:10" s="23" customFormat="1" ht="15.75" x14ac:dyDescent="0.25">
      <c r="A343" s="21" t="s">
        <v>1144</v>
      </c>
      <c r="B343" s="93" t="s">
        <v>1145</v>
      </c>
      <c r="C343" s="93" t="s">
        <v>466</v>
      </c>
      <c r="D343" s="22">
        <v>26282</v>
      </c>
      <c r="E343" s="101">
        <v>1964</v>
      </c>
      <c r="F343" s="102">
        <v>7.5</v>
      </c>
      <c r="G343" s="101">
        <v>3288</v>
      </c>
      <c r="H343" s="102">
        <v>12.5</v>
      </c>
      <c r="I343" s="101">
        <v>5252</v>
      </c>
      <c r="J343" s="102">
        <v>20</v>
      </c>
    </row>
    <row r="344" spans="1:10" x14ac:dyDescent="0.2">
      <c r="A344" s="10" t="s">
        <v>1146</v>
      </c>
      <c r="B344" s="16" t="s">
        <v>1147</v>
      </c>
      <c r="C344" s="16" t="s">
        <v>476</v>
      </c>
      <c r="D344" s="14">
        <v>489</v>
      </c>
      <c r="E344" s="97">
        <v>21</v>
      </c>
      <c r="F344" s="98">
        <v>4.3</v>
      </c>
      <c r="G344" s="97">
        <v>14</v>
      </c>
      <c r="H344" s="98">
        <v>2.9</v>
      </c>
      <c r="I344" s="97">
        <v>35</v>
      </c>
      <c r="J344" s="98">
        <v>7.2</v>
      </c>
    </row>
    <row r="345" spans="1:10" x14ac:dyDescent="0.2">
      <c r="A345" s="10" t="s">
        <v>1148</v>
      </c>
      <c r="B345" s="16" t="s">
        <v>1149</v>
      </c>
      <c r="C345" s="16" t="s">
        <v>476</v>
      </c>
      <c r="D345" s="14">
        <v>925</v>
      </c>
      <c r="E345" s="97">
        <v>55</v>
      </c>
      <c r="F345" s="98">
        <v>5.9</v>
      </c>
      <c r="G345" s="97">
        <v>79</v>
      </c>
      <c r="H345" s="98">
        <v>8.5</v>
      </c>
      <c r="I345" s="97">
        <v>134</v>
      </c>
      <c r="J345" s="98">
        <v>14.5</v>
      </c>
    </row>
    <row r="346" spans="1:10" x14ac:dyDescent="0.2">
      <c r="A346" s="10" t="s">
        <v>1150</v>
      </c>
      <c r="B346" s="16" t="s">
        <v>1151</v>
      </c>
      <c r="C346" s="16" t="s">
        <v>476</v>
      </c>
      <c r="D346" s="14">
        <v>815</v>
      </c>
      <c r="E346" s="97">
        <v>57</v>
      </c>
      <c r="F346" s="98">
        <v>7</v>
      </c>
      <c r="G346" s="97">
        <v>58</v>
      </c>
      <c r="H346" s="98">
        <v>7.1</v>
      </c>
      <c r="I346" s="97">
        <v>115</v>
      </c>
      <c r="J346" s="98">
        <v>14.1</v>
      </c>
    </row>
    <row r="347" spans="1:10" x14ac:dyDescent="0.2">
      <c r="A347" s="10" t="s">
        <v>1152</v>
      </c>
      <c r="B347" s="16" t="s">
        <v>1153</v>
      </c>
      <c r="C347" s="16" t="s">
        <v>476</v>
      </c>
      <c r="D347" s="14">
        <v>791</v>
      </c>
      <c r="E347" s="97">
        <v>40</v>
      </c>
      <c r="F347" s="98">
        <v>5.0999999999999996</v>
      </c>
      <c r="G347" s="97">
        <v>70</v>
      </c>
      <c r="H347" s="98">
        <v>8.8000000000000007</v>
      </c>
      <c r="I347" s="97">
        <v>110</v>
      </c>
      <c r="J347" s="98">
        <v>13.9</v>
      </c>
    </row>
    <row r="348" spans="1:10" x14ac:dyDescent="0.2">
      <c r="A348" s="10" t="s">
        <v>1154</v>
      </c>
      <c r="B348" s="16" t="s">
        <v>1155</v>
      </c>
      <c r="C348" s="16" t="s">
        <v>476</v>
      </c>
      <c r="D348" s="14">
        <v>1237</v>
      </c>
      <c r="E348" s="97">
        <v>94</v>
      </c>
      <c r="F348" s="98">
        <v>7.6</v>
      </c>
      <c r="G348" s="97">
        <v>119</v>
      </c>
      <c r="H348" s="98">
        <v>9.6</v>
      </c>
      <c r="I348" s="97">
        <v>213</v>
      </c>
      <c r="J348" s="98">
        <v>17.2</v>
      </c>
    </row>
    <row r="349" spans="1:10" x14ac:dyDescent="0.2">
      <c r="A349" s="10" t="s">
        <v>1156</v>
      </c>
      <c r="B349" s="16" t="s">
        <v>1157</v>
      </c>
      <c r="C349" s="16" t="s">
        <v>476</v>
      </c>
      <c r="D349" s="14">
        <v>1116</v>
      </c>
      <c r="E349" s="97">
        <v>72</v>
      </c>
      <c r="F349" s="98">
        <v>6.5</v>
      </c>
      <c r="G349" s="97">
        <v>156</v>
      </c>
      <c r="H349" s="98">
        <v>14</v>
      </c>
      <c r="I349" s="97">
        <v>228</v>
      </c>
      <c r="J349" s="98">
        <v>20.399999999999999</v>
      </c>
    </row>
    <row r="350" spans="1:10" x14ac:dyDescent="0.2">
      <c r="A350" s="10" t="s">
        <v>1158</v>
      </c>
      <c r="B350" s="16" t="s">
        <v>1159</v>
      </c>
      <c r="C350" s="16" t="s">
        <v>476</v>
      </c>
      <c r="D350" s="14">
        <v>927</v>
      </c>
      <c r="E350" s="97">
        <v>67</v>
      </c>
      <c r="F350" s="98">
        <v>7.2</v>
      </c>
      <c r="G350" s="97">
        <v>59</v>
      </c>
      <c r="H350" s="98">
        <v>6.4</v>
      </c>
      <c r="I350" s="97">
        <v>126</v>
      </c>
      <c r="J350" s="98">
        <v>13.6</v>
      </c>
    </row>
    <row r="351" spans="1:10" x14ac:dyDescent="0.2">
      <c r="A351" s="10" t="s">
        <v>1160</v>
      </c>
      <c r="B351" s="16" t="s">
        <v>1161</v>
      </c>
      <c r="C351" s="16" t="s">
        <v>476</v>
      </c>
      <c r="D351" s="14">
        <v>500</v>
      </c>
      <c r="E351" s="97">
        <v>36</v>
      </c>
      <c r="F351" s="98">
        <v>7.2</v>
      </c>
      <c r="G351" s="97">
        <v>36</v>
      </c>
      <c r="H351" s="98">
        <v>7.2</v>
      </c>
      <c r="I351" s="97">
        <v>72</v>
      </c>
      <c r="J351" s="98">
        <v>14.4</v>
      </c>
    </row>
    <row r="352" spans="1:10" x14ac:dyDescent="0.2">
      <c r="A352" s="10" t="s">
        <v>1162</v>
      </c>
      <c r="B352" s="16" t="s">
        <v>1163</v>
      </c>
      <c r="C352" s="16" t="s">
        <v>476</v>
      </c>
      <c r="D352" s="14">
        <v>954</v>
      </c>
      <c r="E352" s="97">
        <v>58</v>
      </c>
      <c r="F352" s="98">
        <v>6.1</v>
      </c>
      <c r="G352" s="97">
        <v>47</v>
      </c>
      <c r="H352" s="98">
        <v>4.9000000000000004</v>
      </c>
      <c r="I352" s="97">
        <v>105</v>
      </c>
      <c r="J352" s="98">
        <v>11</v>
      </c>
    </row>
    <row r="353" spans="1:10" x14ac:dyDescent="0.2">
      <c r="A353" s="10" t="s">
        <v>1164</v>
      </c>
      <c r="B353" s="16" t="s">
        <v>1165</v>
      </c>
      <c r="C353" s="16" t="s">
        <v>476</v>
      </c>
      <c r="D353" s="14">
        <v>1523</v>
      </c>
      <c r="E353" s="97">
        <v>84</v>
      </c>
      <c r="F353" s="98">
        <v>5.5</v>
      </c>
      <c r="G353" s="97">
        <v>90</v>
      </c>
      <c r="H353" s="98">
        <v>5.9</v>
      </c>
      <c r="I353" s="97">
        <v>174</v>
      </c>
      <c r="J353" s="98">
        <v>11.4</v>
      </c>
    </row>
    <row r="354" spans="1:10" x14ac:dyDescent="0.2">
      <c r="A354" s="10" t="s">
        <v>1166</v>
      </c>
      <c r="B354" s="16" t="s">
        <v>1167</v>
      </c>
      <c r="C354" s="16" t="s">
        <v>476</v>
      </c>
      <c r="D354" s="14">
        <v>1986</v>
      </c>
      <c r="E354" s="97">
        <v>150</v>
      </c>
      <c r="F354" s="98">
        <v>7.6</v>
      </c>
      <c r="G354" s="97">
        <v>433</v>
      </c>
      <c r="H354" s="98">
        <v>21.8</v>
      </c>
      <c r="I354" s="97">
        <v>583</v>
      </c>
      <c r="J354" s="98">
        <v>29.4</v>
      </c>
    </row>
    <row r="355" spans="1:10" x14ac:dyDescent="0.2">
      <c r="A355" s="10" t="s">
        <v>1168</v>
      </c>
      <c r="B355" s="16" t="s">
        <v>1169</v>
      </c>
      <c r="C355" s="16" t="s">
        <v>476</v>
      </c>
      <c r="D355" s="14">
        <v>1173</v>
      </c>
      <c r="E355" s="97">
        <v>54</v>
      </c>
      <c r="F355" s="98">
        <v>4.5999999999999996</v>
      </c>
      <c r="G355" s="97">
        <v>63</v>
      </c>
      <c r="H355" s="98">
        <v>5.4</v>
      </c>
      <c r="I355" s="97">
        <v>117</v>
      </c>
      <c r="J355" s="98">
        <v>10</v>
      </c>
    </row>
    <row r="356" spans="1:10" x14ac:dyDescent="0.2">
      <c r="A356" s="10" t="s">
        <v>1170</v>
      </c>
      <c r="B356" s="16" t="s">
        <v>1171</v>
      </c>
      <c r="C356" s="16" t="s">
        <v>476</v>
      </c>
      <c r="D356" s="14">
        <v>1142</v>
      </c>
      <c r="E356" s="97">
        <v>58</v>
      </c>
      <c r="F356" s="98">
        <v>5.0999999999999996</v>
      </c>
      <c r="G356" s="97">
        <v>58</v>
      </c>
      <c r="H356" s="98">
        <v>5.0999999999999996</v>
      </c>
      <c r="I356" s="97">
        <v>116</v>
      </c>
      <c r="J356" s="98">
        <v>10.199999999999999</v>
      </c>
    </row>
    <row r="357" spans="1:10" x14ac:dyDescent="0.2">
      <c r="A357" s="10" t="s">
        <v>1172</v>
      </c>
      <c r="B357" s="16" t="s">
        <v>1173</v>
      </c>
      <c r="C357" s="16" t="s">
        <v>476</v>
      </c>
      <c r="D357" s="14">
        <v>1111</v>
      </c>
      <c r="E357" s="97">
        <v>96</v>
      </c>
      <c r="F357" s="98">
        <v>8.6</v>
      </c>
      <c r="G357" s="97">
        <v>84</v>
      </c>
      <c r="H357" s="98">
        <v>7.6</v>
      </c>
      <c r="I357" s="97">
        <v>180</v>
      </c>
      <c r="J357" s="98">
        <v>16.2</v>
      </c>
    </row>
    <row r="358" spans="1:10" x14ac:dyDescent="0.2">
      <c r="A358" s="10" t="s">
        <v>1174</v>
      </c>
      <c r="B358" s="16" t="s">
        <v>1175</v>
      </c>
      <c r="C358" s="16" t="s">
        <v>476</v>
      </c>
      <c r="D358" s="14">
        <v>3658</v>
      </c>
      <c r="E358" s="97">
        <v>470</v>
      </c>
      <c r="F358" s="98">
        <v>12.8</v>
      </c>
      <c r="G358" s="97">
        <v>1076</v>
      </c>
      <c r="H358" s="98">
        <v>29.4</v>
      </c>
      <c r="I358" s="97">
        <v>1546</v>
      </c>
      <c r="J358" s="98">
        <v>42.3</v>
      </c>
    </row>
    <row r="359" spans="1:10" x14ac:dyDescent="0.2">
      <c r="A359" s="10" t="s">
        <v>1176</v>
      </c>
      <c r="B359" s="16" t="s">
        <v>1177</v>
      </c>
      <c r="C359" s="16" t="s">
        <v>476</v>
      </c>
      <c r="D359" s="14">
        <v>1998</v>
      </c>
      <c r="E359" s="97">
        <v>97</v>
      </c>
      <c r="F359" s="98">
        <v>4.9000000000000004</v>
      </c>
      <c r="G359" s="97">
        <v>121</v>
      </c>
      <c r="H359" s="98">
        <v>6.1</v>
      </c>
      <c r="I359" s="97">
        <v>218</v>
      </c>
      <c r="J359" s="98">
        <v>10.9</v>
      </c>
    </row>
    <row r="360" spans="1:10" x14ac:dyDescent="0.2">
      <c r="A360" s="10" t="s">
        <v>1178</v>
      </c>
      <c r="B360" s="16" t="s">
        <v>1179</v>
      </c>
      <c r="C360" s="16" t="s">
        <v>476</v>
      </c>
      <c r="D360" s="14">
        <v>523</v>
      </c>
      <c r="E360" s="97">
        <v>20</v>
      </c>
      <c r="F360" s="98">
        <v>3.8</v>
      </c>
      <c r="G360" s="97">
        <v>48</v>
      </c>
      <c r="H360" s="98">
        <v>9.1999999999999993</v>
      </c>
      <c r="I360" s="97">
        <v>68</v>
      </c>
      <c r="J360" s="98">
        <v>13</v>
      </c>
    </row>
    <row r="361" spans="1:10" x14ac:dyDescent="0.2">
      <c r="A361" s="10" t="s">
        <v>1180</v>
      </c>
      <c r="B361" s="16" t="s">
        <v>1181</v>
      </c>
      <c r="C361" s="16" t="s">
        <v>476</v>
      </c>
      <c r="D361" s="14">
        <v>1501</v>
      </c>
      <c r="E361" s="97">
        <v>96</v>
      </c>
      <c r="F361" s="98">
        <v>6.4</v>
      </c>
      <c r="G361" s="97">
        <v>60</v>
      </c>
      <c r="H361" s="98">
        <v>4</v>
      </c>
      <c r="I361" s="97">
        <v>156</v>
      </c>
      <c r="J361" s="98">
        <v>10.4</v>
      </c>
    </row>
    <row r="362" spans="1:10" x14ac:dyDescent="0.2">
      <c r="A362" s="10" t="s">
        <v>1182</v>
      </c>
      <c r="B362" s="16" t="s">
        <v>1183</v>
      </c>
      <c r="C362" s="16" t="s">
        <v>476</v>
      </c>
      <c r="D362" s="14">
        <v>586</v>
      </c>
      <c r="E362" s="97">
        <v>24</v>
      </c>
      <c r="F362" s="98">
        <v>4.0999999999999996</v>
      </c>
      <c r="G362" s="97">
        <v>36</v>
      </c>
      <c r="H362" s="98">
        <v>6.1</v>
      </c>
      <c r="I362" s="97">
        <v>60</v>
      </c>
      <c r="J362" s="98">
        <v>10.199999999999999</v>
      </c>
    </row>
    <row r="363" spans="1:10" x14ac:dyDescent="0.2">
      <c r="A363" s="10" t="s">
        <v>1184</v>
      </c>
      <c r="B363" s="16" t="s">
        <v>1185</v>
      </c>
      <c r="C363" s="16" t="s">
        <v>476</v>
      </c>
      <c r="D363" s="14">
        <v>866</v>
      </c>
      <c r="E363" s="97">
        <v>46</v>
      </c>
      <c r="F363" s="98">
        <v>5.3</v>
      </c>
      <c r="G363" s="97">
        <v>54</v>
      </c>
      <c r="H363" s="98">
        <v>6.2</v>
      </c>
      <c r="I363" s="97">
        <v>100</v>
      </c>
      <c r="J363" s="98">
        <v>11.5</v>
      </c>
    </row>
    <row r="364" spans="1:10" x14ac:dyDescent="0.2">
      <c r="A364" s="10" t="s">
        <v>1186</v>
      </c>
      <c r="B364" s="16" t="s">
        <v>1187</v>
      </c>
      <c r="C364" s="16" t="s">
        <v>476</v>
      </c>
      <c r="D364" s="14">
        <v>724</v>
      </c>
      <c r="E364" s="97">
        <v>77</v>
      </c>
      <c r="F364" s="98">
        <v>10.6</v>
      </c>
      <c r="G364" s="97">
        <v>33</v>
      </c>
      <c r="H364" s="98">
        <v>4.5999999999999996</v>
      </c>
      <c r="I364" s="97">
        <v>110</v>
      </c>
      <c r="J364" s="98">
        <v>15.2</v>
      </c>
    </row>
    <row r="365" spans="1:10" x14ac:dyDescent="0.2">
      <c r="A365" s="10" t="s">
        <v>1188</v>
      </c>
      <c r="B365" s="16" t="s">
        <v>1189</v>
      </c>
      <c r="C365" s="16" t="s">
        <v>476</v>
      </c>
      <c r="D365" s="14">
        <v>1737</v>
      </c>
      <c r="E365" s="97">
        <v>192</v>
      </c>
      <c r="F365" s="98">
        <v>11.1</v>
      </c>
      <c r="G365" s="97">
        <v>494</v>
      </c>
      <c r="H365" s="98">
        <v>28.4</v>
      </c>
      <c r="I365" s="97">
        <v>686</v>
      </c>
      <c r="J365" s="98">
        <v>39.5</v>
      </c>
    </row>
    <row r="366" spans="1:10" x14ac:dyDescent="0.2">
      <c r="A366" s="13" t="s">
        <v>1190</v>
      </c>
      <c r="B366" s="96" t="s">
        <v>245</v>
      </c>
      <c r="C366" s="17" t="s">
        <v>245</v>
      </c>
      <c r="D366" s="15">
        <v>126</v>
      </c>
      <c r="E366" s="99">
        <v>30</v>
      </c>
      <c r="F366" s="100">
        <v>23.8</v>
      </c>
      <c r="G366" s="99">
        <v>42</v>
      </c>
      <c r="H366" s="100">
        <v>33.299999999999997</v>
      </c>
      <c r="I366" s="99">
        <v>72</v>
      </c>
      <c r="J366" s="100">
        <v>57.1</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E8718-91AE-47A8-80D0-0723A9D50B5F}">
  <dimension ref="A1:E97"/>
  <sheetViews>
    <sheetView showGridLines="0" workbookViewId="0"/>
  </sheetViews>
  <sheetFormatPr defaultColWidth="11.5546875" defaultRowHeight="15" x14ac:dyDescent="0.2"/>
  <cols>
    <col min="1" max="1" width="40.88671875" customWidth="1"/>
    <col min="2" max="2" width="8.21875" customWidth="1"/>
    <col min="3" max="4" width="8.6640625" customWidth="1"/>
    <col min="5" max="10" width="11.6640625" customWidth="1"/>
  </cols>
  <sheetData>
    <row r="1" spans="1:5" ht="20.25" x14ac:dyDescent="0.3">
      <c r="A1" s="6" t="s">
        <v>1200</v>
      </c>
    </row>
    <row r="2" spans="1:5" x14ac:dyDescent="0.2">
      <c r="A2" t="s">
        <v>94</v>
      </c>
    </row>
    <row r="3" spans="1:5" x14ac:dyDescent="0.2">
      <c r="A3" t="s">
        <v>1201</v>
      </c>
    </row>
    <row r="4" spans="1:5" x14ac:dyDescent="0.2">
      <c r="A4" t="s">
        <v>217</v>
      </c>
    </row>
    <row r="5" spans="1:5" x14ac:dyDescent="0.2">
      <c r="A5" t="s">
        <v>218</v>
      </c>
    </row>
    <row r="6" spans="1:5" ht="15.75" x14ac:dyDescent="0.25">
      <c r="A6" s="34" t="s">
        <v>219</v>
      </c>
      <c r="B6" s="142" t="s">
        <v>1202</v>
      </c>
      <c r="C6" s="142" t="s">
        <v>234</v>
      </c>
      <c r="D6" s="139" t="s">
        <v>224</v>
      </c>
      <c r="E6" s="60"/>
    </row>
    <row r="7" spans="1:5" ht="15.75" x14ac:dyDescent="0.25">
      <c r="A7" s="23" t="s">
        <v>238</v>
      </c>
      <c r="B7" s="30">
        <v>1.63</v>
      </c>
      <c r="C7" s="30">
        <v>1.92</v>
      </c>
      <c r="D7" s="144">
        <v>1.54</v>
      </c>
    </row>
    <row r="8" spans="1:5" ht="15.75" x14ac:dyDescent="0.25">
      <c r="A8" s="23" t="s">
        <v>111</v>
      </c>
      <c r="B8" s="30">
        <v>1.56</v>
      </c>
      <c r="C8" s="30">
        <v>1.85</v>
      </c>
      <c r="D8" s="144">
        <v>1.49</v>
      </c>
    </row>
    <row r="9" spans="1:5" x14ac:dyDescent="0.2">
      <c r="A9" t="s">
        <v>1203</v>
      </c>
      <c r="B9" s="28" t="s">
        <v>1204</v>
      </c>
      <c r="C9" s="28">
        <v>1.85</v>
      </c>
      <c r="D9" s="145">
        <v>1.5</v>
      </c>
    </row>
    <row r="10" spans="1:5" x14ac:dyDescent="0.2">
      <c r="A10" t="s">
        <v>1205</v>
      </c>
      <c r="B10" s="28" t="s">
        <v>1204</v>
      </c>
      <c r="C10" s="28">
        <v>1.89</v>
      </c>
      <c r="D10" s="126">
        <v>1.48</v>
      </c>
    </row>
    <row r="11" spans="1:5" x14ac:dyDescent="0.2">
      <c r="A11" t="s">
        <v>1206</v>
      </c>
      <c r="B11" s="28">
        <v>1.56</v>
      </c>
      <c r="C11" s="28">
        <v>1.85</v>
      </c>
      <c r="D11" s="145">
        <v>1.5</v>
      </c>
    </row>
    <row r="12" spans="1:5" x14ac:dyDescent="0.2">
      <c r="A12" t="s">
        <v>1207</v>
      </c>
      <c r="B12" s="28">
        <v>1.44</v>
      </c>
      <c r="C12" s="28">
        <v>1.78</v>
      </c>
      <c r="D12" s="145">
        <v>1.4</v>
      </c>
    </row>
    <row r="13" spans="1:5" x14ac:dyDescent="0.2">
      <c r="A13" t="s">
        <v>1208</v>
      </c>
      <c r="B13" s="28">
        <v>1.44</v>
      </c>
      <c r="C13" s="28">
        <v>1.64</v>
      </c>
      <c r="D13" s="126">
        <v>1.46</v>
      </c>
    </row>
    <row r="14" spans="1:5" ht="15.75" x14ac:dyDescent="0.25">
      <c r="A14" s="23" t="s">
        <v>239</v>
      </c>
      <c r="B14" s="30">
        <v>2.14</v>
      </c>
      <c r="C14" s="30">
        <v>2.17</v>
      </c>
      <c r="D14" s="144">
        <v>1.68</v>
      </c>
    </row>
    <row r="15" spans="1:5" ht="15.75" x14ac:dyDescent="0.25">
      <c r="A15" s="23" t="s">
        <v>114</v>
      </c>
      <c r="B15" s="30">
        <v>1.48</v>
      </c>
      <c r="C15" s="30">
        <v>1.88</v>
      </c>
      <c r="D15" s="144">
        <v>1.45</v>
      </c>
    </row>
    <row r="16" spans="1:5" x14ac:dyDescent="0.2">
      <c r="A16" t="s">
        <v>326</v>
      </c>
      <c r="B16" s="28">
        <v>1.77</v>
      </c>
      <c r="C16" s="28">
        <v>1.56</v>
      </c>
      <c r="D16" s="126">
        <v>1.62</v>
      </c>
    </row>
    <row r="17" spans="1:4" x14ac:dyDescent="0.2">
      <c r="A17" t="s">
        <v>325</v>
      </c>
      <c r="B17" s="28">
        <v>1.47</v>
      </c>
      <c r="C17" s="28">
        <v>1.73</v>
      </c>
      <c r="D17" s="126">
        <v>1.33</v>
      </c>
    </row>
    <row r="18" spans="1:4" x14ac:dyDescent="0.2">
      <c r="A18" t="s">
        <v>1209</v>
      </c>
      <c r="B18" s="28">
        <v>1.1399999999999999</v>
      </c>
      <c r="C18" s="32">
        <v>1.1000000000000001</v>
      </c>
      <c r="D18" s="126">
        <v>1.08</v>
      </c>
    </row>
    <row r="19" spans="1:4" x14ac:dyDescent="0.2">
      <c r="A19" t="s">
        <v>1210</v>
      </c>
      <c r="B19" s="32">
        <v>1.4</v>
      </c>
      <c r="C19" s="28">
        <v>1.39</v>
      </c>
      <c r="D19" s="126">
        <v>1.28</v>
      </c>
    </row>
    <row r="20" spans="1:4" x14ac:dyDescent="0.2">
      <c r="A20" t="s">
        <v>1211</v>
      </c>
      <c r="B20" s="28">
        <v>2.34</v>
      </c>
      <c r="C20" s="28">
        <v>1.68</v>
      </c>
      <c r="D20" s="126">
        <v>1.31</v>
      </c>
    </row>
    <row r="21" spans="1:4" x14ac:dyDescent="0.2">
      <c r="A21" t="s">
        <v>1212</v>
      </c>
      <c r="B21" s="28">
        <v>1.17</v>
      </c>
      <c r="C21" s="28">
        <v>1.25</v>
      </c>
      <c r="D21" s="126">
        <v>1.1599999999999999</v>
      </c>
    </row>
    <row r="22" spans="1:4" x14ac:dyDescent="0.2">
      <c r="A22" t="s">
        <v>1213</v>
      </c>
      <c r="B22" s="28">
        <v>0.83</v>
      </c>
      <c r="C22" s="32">
        <v>1.2</v>
      </c>
      <c r="D22" s="126">
        <v>1.0900000000000001</v>
      </c>
    </row>
    <row r="23" spans="1:4" x14ac:dyDescent="0.2">
      <c r="A23" t="s">
        <v>1214</v>
      </c>
      <c r="B23" s="28">
        <v>1.56</v>
      </c>
      <c r="C23" s="32">
        <v>1.7</v>
      </c>
      <c r="D23" s="126">
        <v>1.46</v>
      </c>
    </row>
    <row r="24" spans="1:4" x14ac:dyDescent="0.2">
      <c r="A24" t="s">
        <v>1215</v>
      </c>
      <c r="B24" s="28">
        <v>1.27</v>
      </c>
      <c r="C24" s="28">
        <v>1.59</v>
      </c>
      <c r="D24" s="126">
        <v>1.36</v>
      </c>
    </row>
    <row r="25" spans="1:4" ht="15.75" x14ac:dyDescent="0.25">
      <c r="A25" s="23" t="s">
        <v>117</v>
      </c>
      <c r="B25" s="30">
        <v>1.95</v>
      </c>
      <c r="C25" s="30">
        <v>2.12</v>
      </c>
      <c r="D25" s="144">
        <v>1.67</v>
      </c>
    </row>
    <row r="26" spans="1:4" x14ac:dyDescent="0.2">
      <c r="A26" t="s">
        <v>241</v>
      </c>
      <c r="B26" s="28">
        <v>3.57</v>
      </c>
      <c r="C26" s="28">
        <v>2.89</v>
      </c>
      <c r="D26" s="145">
        <v>2.2999999999999998</v>
      </c>
    </row>
    <row r="27" spans="1:4" x14ac:dyDescent="0.2">
      <c r="A27" t="s">
        <v>240</v>
      </c>
      <c r="B27" s="28">
        <v>2.82</v>
      </c>
      <c r="C27" s="28">
        <v>2.08</v>
      </c>
      <c r="D27" s="126">
        <v>1.28</v>
      </c>
    </row>
    <row r="28" spans="1:4" x14ac:dyDescent="0.2">
      <c r="A28" t="s">
        <v>1216</v>
      </c>
      <c r="B28" s="28">
        <v>1.63</v>
      </c>
      <c r="C28" s="32">
        <v>1.8</v>
      </c>
      <c r="D28" s="126">
        <v>1.81</v>
      </c>
    </row>
    <row r="29" spans="1:4" x14ac:dyDescent="0.2">
      <c r="A29" t="s">
        <v>328</v>
      </c>
      <c r="B29" s="28">
        <v>3.97</v>
      </c>
      <c r="C29" s="28">
        <v>2.23</v>
      </c>
      <c r="D29" s="126">
        <v>1.32</v>
      </c>
    </row>
    <row r="30" spans="1:4" x14ac:dyDescent="0.2">
      <c r="A30" t="s">
        <v>1217</v>
      </c>
      <c r="B30" s="28">
        <v>2.0299999999999998</v>
      </c>
      <c r="C30" s="28">
        <v>2.23</v>
      </c>
      <c r="D30" s="126">
        <v>2.2799999999999998</v>
      </c>
    </row>
    <row r="31" spans="1:4" x14ac:dyDescent="0.2">
      <c r="A31" t="s">
        <v>1218</v>
      </c>
      <c r="B31" s="28">
        <v>1.74</v>
      </c>
      <c r="C31" s="28">
        <v>1.58</v>
      </c>
      <c r="D31" s="126">
        <v>1.38</v>
      </c>
    </row>
    <row r="32" spans="1:4" x14ac:dyDescent="0.2">
      <c r="A32" t="s">
        <v>1219</v>
      </c>
      <c r="B32" s="28">
        <v>2.92</v>
      </c>
      <c r="C32" s="28">
        <v>2.4300000000000002</v>
      </c>
      <c r="D32" s="126">
        <v>1.44</v>
      </c>
    </row>
    <row r="33" spans="1:4" x14ac:dyDescent="0.2">
      <c r="A33" t="s">
        <v>1220</v>
      </c>
      <c r="B33" s="28">
        <v>2.38</v>
      </c>
      <c r="C33" s="28">
        <v>2.79</v>
      </c>
      <c r="D33" s="126">
        <v>1.89</v>
      </c>
    </row>
    <row r="34" spans="1:4" ht="15.75" x14ac:dyDescent="0.25">
      <c r="A34" s="23" t="s">
        <v>120</v>
      </c>
      <c r="B34" s="30">
        <v>2.5099999999999998</v>
      </c>
      <c r="C34" s="30">
        <v>1.99</v>
      </c>
      <c r="D34" s="144">
        <v>2.0499999999999998</v>
      </c>
    </row>
    <row r="35" spans="1:4" x14ac:dyDescent="0.2">
      <c r="A35" t="s">
        <v>1221</v>
      </c>
      <c r="B35" s="28">
        <v>2.72</v>
      </c>
      <c r="C35" s="28">
        <v>2.19</v>
      </c>
      <c r="D35" s="126">
        <v>1.77</v>
      </c>
    </row>
    <row r="36" spans="1:4" x14ac:dyDescent="0.2">
      <c r="A36" t="s">
        <v>1222</v>
      </c>
      <c r="B36" s="28" t="s">
        <v>318</v>
      </c>
      <c r="C36" s="28">
        <v>1.92</v>
      </c>
      <c r="D36" s="126">
        <v>1.74</v>
      </c>
    </row>
    <row r="37" spans="1:4" x14ac:dyDescent="0.2">
      <c r="A37" t="s">
        <v>1223</v>
      </c>
      <c r="B37" s="32">
        <v>2</v>
      </c>
      <c r="C37" s="28">
        <v>1.67</v>
      </c>
      <c r="D37" s="126">
        <v>1.27</v>
      </c>
    </row>
    <row r="38" spans="1:4" ht="15.75" x14ac:dyDescent="0.25">
      <c r="A38" s="23" t="s">
        <v>123</v>
      </c>
      <c r="B38" s="30">
        <v>2.3199999999999998</v>
      </c>
      <c r="C38" s="30">
        <v>2.73</v>
      </c>
      <c r="D38" s="144">
        <v>2.02</v>
      </c>
    </row>
    <row r="39" spans="1:4" ht="15.75" x14ac:dyDescent="0.25">
      <c r="A39" s="23" t="s">
        <v>125</v>
      </c>
      <c r="B39" s="30">
        <v>4.51</v>
      </c>
      <c r="C39" s="30">
        <v>3.81</v>
      </c>
      <c r="D39" s="144">
        <v>2.77</v>
      </c>
    </row>
    <row r="40" spans="1:4" x14ac:dyDescent="0.2">
      <c r="A40" t="s">
        <v>1224</v>
      </c>
      <c r="B40" s="28" t="s">
        <v>318</v>
      </c>
      <c r="C40" s="28" t="s">
        <v>318</v>
      </c>
      <c r="D40" s="126">
        <v>1.25</v>
      </c>
    </row>
    <row r="41" spans="1:4" x14ac:dyDescent="0.2">
      <c r="A41" t="s">
        <v>1225</v>
      </c>
      <c r="B41" s="32">
        <v>3.1</v>
      </c>
      <c r="C41" s="28">
        <v>3.65</v>
      </c>
      <c r="D41" s="126">
        <v>3.55</v>
      </c>
    </row>
    <row r="42" spans="1:4" x14ac:dyDescent="0.2">
      <c r="A42" t="s">
        <v>1226</v>
      </c>
      <c r="B42" s="28">
        <v>5.34</v>
      </c>
      <c r="C42" s="28">
        <v>3.47</v>
      </c>
      <c r="D42" s="126">
        <v>2.64</v>
      </c>
    </row>
    <row r="43" spans="1:4" x14ac:dyDescent="0.2">
      <c r="A43" t="s">
        <v>1227</v>
      </c>
      <c r="B43" s="28">
        <v>6.01</v>
      </c>
      <c r="C43" s="28">
        <v>4.2300000000000004</v>
      </c>
      <c r="D43" s="126">
        <v>2.91</v>
      </c>
    </row>
    <row r="44" spans="1:4" x14ac:dyDescent="0.2">
      <c r="A44" t="s">
        <v>1228</v>
      </c>
      <c r="B44" s="28">
        <v>3.19</v>
      </c>
      <c r="C44" s="28">
        <v>2.5499999999999998</v>
      </c>
      <c r="D44" s="126">
        <v>1.86</v>
      </c>
    </row>
    <row r="45" spans="1:4" ht="15.75" x14ac:dyDescent="0.25">
      <c r="A45" s="23" t="s">
        <v>128</v>
      </c>
      <c r="B45" s="30">
        <v>2.67</v>
      </c>
      <c r="C45" s="30">
        <v>3.21</v>
      </c>
      <c r="D45" s="144">
        <v>2.19</v>
      </c>
    </row>
    <row r="46" spans="1:4" x14ac:dyDescent="0.2">
      <c r="A46" t="s">
        <v>319</v>
      </c>
      <c r="B46" s="28">
        <v>2.4900000000000002</v>
      </c>
      <c r="C46" s="28">
        <v>3.28</v>
      </c>
      <c r="D46" s="126">
        <v>2.15</v>
      </c>
    </row>
    <row r="47" spans="1:4" x14ac:dyDescent="0.2">
      <c r="A47" t="s">
        <v>320</v>
      </c>
      <c r="B47" s="28">
        <v>2.83</v>
      </c>
      <c r="C47" s="28">
        <v>3.19</v>
      </c>
      <c r="D47" s="126">
        <v>2.17</v>
      </c>
    </row>
    <row r="48" spans="1:4" x14ac:dyDescent="0.2">
      <c r="A48" t="s">
        <v>1229</v>
      </c>
      <c r="B48" s="28">
        <v>3.65</v>
      </c>
      <c r="C48" s="28">
        <v>3.76</v>
      </c>
      <c r="D48" s="126">
        <v>2.86</v>
      </c>
    </row>
    <row r="49" spans="1:4" ht="15.75" x14ac:dyDescent="0.25">
      <c r="A49" s="23" t="s">
        <v>131</v>
      </c>
      <c r="B49" s="30">
        <v>4.97</v>
      </c>
      <c r="C49" s="30">
        <v>3.05</v>
      </c>
      <c r="D49" s="146">
        <v>2</v>
      </c>
    </row>
    <row r="50" spans="1:4" x14ac:dyDescent="0.2">
      <c r="A50" t="s">
        <v>1230</v>
      </c>
      <c r="B50" s="28">
        <v>6.06</v>
      </c>
      <c r="C50" s="32">
        <v>4.2</v>
      </c>
      <c r="D50" s="126">
        <v>1.83</v>
      </c>
    </row>
    <row r="51" spans="1:4" x14ac:dyDescent="0.2">
      <c r="A51" t="s">
        <v>133</v>
      </c>
      <c r="B51" s="28">
        <v>2.27</v>
      </c>
      <c r="C51" s="28">
        <v>2.62</v>
      </c>
      <c r="D51" s="126">
        <v>1.95</v>
      </c>
    </row>
    <row r="52" spans="1:4" x14ac:dyDescent="0.2">
      <c r="A52" t="s">
        <v>329</v>
      </c>
      <c r="B52" s="28">
        <v>5.91</v>
      </c>
      <c r="C52" s="28">
        <v>4.17</v>
      </c>
      <c r="D52" s="126">
        <v>2.41</v>
      </c>
    </row>
    <row r="53" spans="1:4" x14ac:dyDescent="0.2">
      <c r="A53" t="s">
        <v>1231</v>
      </c>
      <c r="B53" s="28">
        <v>1.66</v>
      </c>
      <c r="C53" s="32">
        <v>1.8</v>
      </c>
      <c r="D53" s="126">
        <v>1.39</v>
      </c>
    </row>
    <row r="54" spans="1:4" x14ac:dyDescent="0.2">
      <c r="A54" t="s">
        <v>1232</v>
      </c>
      <c r="B54" s="28">
        <v>2.5099999999999998</v>
      </c>
      <c r="C54" s="28">
        <v>3.21</v>
      </c>
      <c r="D54" s="126">
        <v>3.35</v>
      </c>
    </row>
    <row r="55" spans="1:4" x14ac:dyDescent="0.2">
      <c r="A55" t="s">
        <v>1233</v>
      </c>
      <c r="B55" s="32">
        <v>1.4</v>
      </c>
      <c r="C55" s="28">
        <v>1.88</v>
      </c>
      <c r="D55" s="126">
        <v>1.53</v>
      </c>
    </row>
    <row r="56" spans="1:4" x14ac:dyDescent="0.2">
      <c r="A56" t="s">
        <v>1234</v>
      </c>
      <c r="B56" s="32">
        <v>1.9</v>
      </c>
      <c r="C56" s="32">
        <v>2.6</v>
      </c>
      <c r="D56" s="126">
        <v>2.2799999999999998</v>
      </c>
    </row>
    <row r="57" spans="1:4" x14ac:dyDescent="0.2">
      <c r="A57" t="s">
        <v>1235</v>
      </c>
      <c r="B57" s="28">
        <v>1.99</v>
      </c>
      <c r="C57" s="28">
        <v>2.5099999999999998</v>
      </c>
      <c r="D57" s="145">
        <v>1.6</v>
      </c>
    </row>
    <row r="58" spans="1:4" s="23" customFormat="1" ht="15.75" x14ac:dyDescent="0.25">
      <c r="A58" s="23" t="s">
        <v>136</v>
      </c>
      <c r="B58" s="30">
        <v>1.36</v>
      </c>
      <c r="C58" s="30">
        <v>1.76</v>
      </c>
      <c r="D58" s="144">
        <v>1.32</v>
      </c>
    </row>
    <row r="59" spans="1:4" ht="15.75" x14ac:dyDescent="0.25">
      <c r="A59" s="23" t="s">
        <v>139</v>
      </c>
      <c r="B59" s="30">
        <v>2.11</v>
      </c>
      <c r="C59" s="30">
        <v>1.82</v>
      </c>
      <c r="D59" s="146">
        <v>1.41</v>
      </c>
    </row>
    <row r="60" spans="1:4" s="140" customFormat="1" ht="15.75" x14ac:dyDescent="0.25">
      <c r="A60" s="23" t="s">
        <v>141</v>
      </c>
      <c r="B60" s="30">
        <v>1.73</v>
      </c>
      <c r="C60" s="31">
        <v>1.7</v>
      </c>
      <c r="D60" s="144">
        <v>1.44</v>
      </c>
    </row>
    <row r="61" spans="1:4" x14ac:dyDescent="0.2">
      <c r="A61" t="s">
        <v>1236</v>
      </c>
      <c r="B61" s="28">
        <v>1.88</v>
      </c>
      <c r="C61" s="28">
        <v>1.81</v>
      </c>
      <c r="D61" s="126">
        <v>1.49</v>
      </c>
    </row>
    <row r="62" spans="1:4" x14ac:dyDescent="0.2">
      <c r="A62" t="s">
        <v>1237</v>
      </c>
      <c r="B62" s="32">
        <v>1.4</v>
      </c>
      <c r="C62" s="28">
        <v>1.43</v>
      </c>
      <c r="D62" s="126">
        <v>1.29</v>
      </c>
    </row>
    <row r="63" spans="1:4" ht="15.75" x14ac:dyDescent="0.25">
      <c r="A63" s="23" t="s">
        <v>144</v>
      </c>
      <c r="B63" s="30">
        <v>1.71</v>
      </c>
      <c r="C63" s="30">
        <v>1.73</v>
      </c>
      <c r="D63" s="144">
        <v>1.43</v>
      </c>
    </row>
    <row r="64" spans="1:4" ht="15.75" x14ac:dyDescent="0.25">
      <c r="A64" s="23" t="s">
        <v>147</v>
      </c>
      <c r="B64" s="30">
        <v>2.23</v>
      </c>
      <c r="C64" s="30">
        <v>1.75</v>
      </c>
      <c r="D64" s="144">
        <v>1.36</v>
      </c>
    </row>
    <row r="65" spans="1:4" x14ac:dyDescent="0.2">
      <c r="A65" t="s">
        <v>1238</v>
      </c>
      <c r="B65" s="28">
        <v>2.0099999999999998</v>
      </c>
      <c r="C65" s="28">
        <v>1.84</v>
      </c>
      <c r="D65" s="126">
        <v>1.47</v>
      </c>
    </row>
    <row r="66" spans="1:4" x14ac:dyDescent="0.2">
      <c r="A66" t="s">
        <v>1239</v>
      </c>
      <c r="B66" s="28">
        <v>2.78</v>
      </c>
      <c r="C66" s="28">
        <v>1.51</v>
      </c>
      <c r="D66" s="126">
        <v>1.27</v>
      </c>
    </row>
    <row r="67" spans="1:4" ht="15.75" x14ac:dyDescent="0.25">
      <c r="A67" s="23" t="s">
        <v>150</v>
      </c>
      <c r="B67" s="30">
        <v>2.99</v>
      </c>
      <c r="C67" s="30">
        <v>2.3199999999999998</v>
      </c>
      <c r="D67" s="144">
        <v>1.62</v>
      </c>
    </row>
    <row r="68" spans="1:4" x14ac:dyDescent="0.2">
      <c r="A68" t="s">
        <v>1240</v>
      </c>
      <c r="B68" s="28">
        <v>3.99</v>
      </c>
      <c r="C68" s="28">
        <v>2.59</v>
      </c>
      <c r="D68" s="126">
        <v>1.64</v>
      </c>
    </row>
    <row r="69" spans="1:4" ht="15.75" x14ac:dyDescent="0.25">
      <c r="A69" s="23" t="s">
        <v>153</v>
      </c>
      <c r="B69" s="30">
        <v>2.75</v>
      </c>
      <c r="C69" s="30">
        <v>2.2599999999999998</v>
      </c>
      <c r="D69" s="144">
        <v>1.82</v>
      </c>
    </row>
    <row r="70" spans="1:4" ht="15.75" x14ac:dyDescent="0.25">
      <c r="A70" s="23" t="s">
        <v>155</v>
      </c>
      <c r="B70" s="30">
        <v>2.93</v>
      </c>
      <c r="C70" s="30">
        <v>2.54</v>
      </c>
      <c r="D70" s="144">
        <v>2.27</v>
      </c>
    </row>
    <row r="71" spans="1:4" x14ac:dyDescent="0.2">
      <c r="A71" t="s">
        <v>322</v>
      </c>
      <c r="B71" s="28">
        <v>3.27</v>
      </c>
      <c r="C71" s="28">
        <v>3.82</v>
      </c>
      <c r="D71" s="126">
        <v>3.15</v>
      </c>
    </row>
    <row r="72" spans="1:4" x14ac:dyDescent="0.2">
      <c r="A72" t="s">
        <v>1241</v>
      </c>
      <c r="B72" s="28">
        <v>4.72</v>
      </c>
      <c r="C72" s="28">
        <v>3.44</v>
      </c>
      <c r="D72" s="126">
        <v>3.02</v>
      </c>
    </row>
    <row r="73" spans="1:4" x14ac:dyDescent="0.2">
      <c r="A73" t="s">
        <v>1242</v>
      </c>
      <c r="B73" s="28">
        <v>2.0299999999999998</v>
      </c>
      <c r="C73" s="28">
        <v>1.33</v>
      </c>
      <c r="D73" s="126">
        <v>1.34</v>
      </c>
    </row>
    <row r="74" spans="1:4" x14ac:dyDescent="0.2">
      <c r="A74" t="s">
        <v>1243</v>
      </c>
      <c r="B74" s="32">
        <v>3</v>
      </c>
      <c r="C74" s="28">
        <v>2.02</v>
      </c>
      <c r="D74" s="126">
        <v>1.75</v>
      </c>
    </row>
    <row r="75" spans="1:4" x14ac:dyDescent="0.2">
      <c r="A75" t="s">
        <v>1244</v>
      </c>
      <c r="B75" s="28">
        <v>2.99</v>
      </c>
      <c r="C75" s="28">
        <v>2.92</v>
      </c>
      <c r="D75" s="145">
        <v>2.7</v>
      </c>
    </row>
    <row r="76" spans="1:4" x14ac:dyDescent="0.2">
      <c r="A76" t="s">
        <v>1245</v>
      </c>
      <c r="B76" s="28">
        <v>2.94</v>
      </c>
      <c r="C76" s="28">
        <v>3.04</v>
      </c>
      <c r="D76" s="145">
        <v>3.8</v>
      </c>
    </row>
    <row r="77" spans="1:4" ht="15.75" x14ac:dyDescent="0.25">
      <c r="A77" s="23" t="s">
        <v>158</v>
      </c>
      <c r="B77" s="30">
        <v>2.69</v>
      </c>
      <c r="C77" s="30">
        <v>2.14</v>
      </c>
      <c r="D77" s="144">
        <v>1.84</v>
      </c>
    </row>
    <row r="78" spans="1:4" ht="15.75" x14ac:dyDescent="0.25">
      <c r="A78" s="23" t="s">
        <v>160</v>
      </c>
      <c r="B78" s="30">
        <v>0.77</v>
      </c>
      <c r="C78" s="31">
        <v>1.5</v>
      </c>
      <c r="D78" s="144">
        <v>0.87</v>
      </c>
    </row>
    <row r="79" spans="1:4" x14ac:dyDescent="0.2">
      <c r="A79" t="s">
        <v>324</v>
      </c>
      <c r="B79" s="28">
        <v>1.45</v>
      </c>
      <c r="C79" s="28">
        <v>1.76</v>
      </c>
      <c r="D79" s="126">
        <v>0.78</v>
      </c>
    </row>
    <row r="80" spans="1:4" x14ac:dyDescent="0.2">
      <c r="A80" t="s">
        <v>1246</v>
      </c>
      <c r="B80" s="28" t="s">
        <v>318</v>
      </c>
      <c r="C80" s="28">
        <v>1.17</v>
      </c>
      <c r="D80" s="126">
        <v>1.04</v>
      </c>
    </row>
    <row r="81" spans="1:4" ht="15.75" x14ac:dyDescent="0.25">
      <c r="A81" s="23" t="s">
        <v>163</v>
      </c>
      <c r="B81" s="30">
        <v>3.57</v>
      </c>
      <c r="C81" s="30">
        <v>2.91</v>
      </c>
      <c r="D81" s="144">
        <v>2.29</v>
      </c>
    </row>
    <row r="82" spans="1:4" x14ac:dyDescent="0.2">
      <c r="A82" t="s">
        <v>321</v>
      </c>
      <c r="B82" s="28">
        <v>5.04</v>
      </c>
      <c r="C82" s="28">
        <v>4.1100000000000003</v>
      </c>
      <c r="D82" s="126">
        <v>3.09</v>
      </c>
    </row>
    <row r="83" spans="1:4" x14ac:dyDescent="0.2">
      <c r="A83" t="s">
        <v>244</v>
      </c>
      <c r="B83" s="32">
        <v>3.8</v>
      </c>
      <c r="C83" s="28">
        <v>3.12</v>
      </c>
      <c r="D83" s="126">
        <v>2.71</v>
      </c>
    </row>
    <row r="84" spans="1:4" x14ac:dyDescent="0.2">
      <c r="A84" t="s">
        <v>331</v>
      </c>
      <c r="B84" s="28">
        <v>3.48</v>
      </c>
      <c r="C84" s="28">
        <v>2.58</v>
      </c>
      <c r="D84" s="126">
        <v>1.88</v>
      </c>
    </row>
    <row r="85" spans="1:4" x14ac:dyDescent="0.2">
      <c r="A85" t="s">
        <v>242</v>
      </c>
      <c r="B85" s="28">
        <v>2.15</v>
      </c>
      <c r="C85" s="28">
        <v>2.2599999999999998</v>
      </c>
      <c r="D85" s="126">
        <v>1.81</v>
      </c>
    </row>
    <row r="86" spans="1:4" x14ac:dyDescent="0.2">
      <c r="A86" t="s">
        <v>1247</v>
      </c>
      <c r="B86" s="28">
        <v>2.39</v>
      </c>
      <c r="C86" s="28">
        <v>1.58</v>
      </c>
      <c r="D86" s="126">
        <v>1.18</v>
      </c>
    </row>
    <row r="87" spans="1:4" x14ac:dyDescent="0.2">
      <c r="A87" t="s">
        <v>243</v>
      </c>
      <c r="B87" s="28">
        <v>4.57</v>
      </c>
      <c r="C87" s="28">
        <v>3.67</v>
      </c>
      <c r="D87" s="126">
        <v>2.92</v>
      </c>
    </row>
    <row r="88" spans="1:4" ht="15.75" x14ac:dyDescent="0.25">
      <c r="A88" s="23" t="s">
        <v>165</v>
      </c>
      <c r="B88" s="30">
        <v>1.49</v>
      </c>
      <c r="C88" s="30">
        <v>1.54</v>
      </c>
      <c r="D88" s="144">
        <v>1.18</v>
      </c>
    </row>
    <row r="89" spans="1:4" x14ac:dyDescent="0.2">
      <c r="A89" t="s">
        <v>1248</v>
      </c>
      <c r="B89" s="28">
        <v>1.59</v>
      </c>
      <c r="C89" s="28">
        <v>1.64</v>
      </c>
      <c r="D89" s="126">
        <v>1.03</v>
      </c>
    </row>
    <row r="90" spans="1:4" x14ac:dyDescent="0.2">
      <c r="A90" t="s">
        <v>1249</v>
      </c>
      <c r="B90" s="28">
        <v>1.99</v>
      </c>
      <c r="C90" s="32">
        <v>2.6</v>
      </c>
      <c r="D90" s="126">
        <v>2.44</v>
      </c>
    </row>
    <row r="91" spans="1:4" x14ac:dyDescent="0.2">
      <c r="A91" t="s">
        <v>1250</v>
      </c>
      <c r="B91" s="28">
        <v>1.87</v>
      </c>
      <c r="C91" s="28">
        <v>1.31</v>
      </c>
      <c r="D91" s="126">
        <v>0.94</v>
      </c>
    </row>
    <row r="92" spans="1:4" x14ac:dyDescent="0.2">
      <c r="A92" t="s">
        <v>1251</v>
      </c>
      <c r="B92" s="28">
        <v>1.41</v>
      </c>
      <c r="C92" s="28">
        <v>1.41</v>
      </c>
      <c r="D92" s="126">
        <v>1.17</v>
      </c>
    </row>
    <row r="93" spans="1:4" ht="15.75" x14ac:dyDescent="0.25">
      <c r="A93" s="23" t="s">
        <v>168</v>
      </c>
      <c r="B93" s="30">
        <v>1.22</v>
      </c>
      <c r="C93" s="30">
        <v>1.37</v>
      </c>
      <c r="D93" s="144">
        <v>1.27</v>
      </c>
    </row>
    <row r="94" spans="1:4" s="140" customFormat="1" x14ac:dyDescent="0.2">
      <c r="A94" s="140" t="s">
        <v>174</v>
      </c>
      <c r="B94" s="143">
        <v>1.2</v>
      </c>
      <c r="C94" s="141">
        <v>1.33</v>
      </c>
      <c r="D94" s="147">
        <v>1.28</v>
      </c>
    </row>
    <row r="95" spans="1:4" x14ac:dyDescent="0.2">
      <c r="A95" t="s">
        <v>1252</v>
      </c>
      <c r="B95" s="28">
        <v>1.21</v>
      </c>
      <c r="C95" s="28">
        <v>1.31</v>
      </c>
      <c r="D95" s="126">
        <v>1.27</v>
      </c>
    </row>
    <row r="96" spans="1:4" x14ac:dyDescent="0.2">
      <c r="A96" t="s">
        <v>1253</v>
      </c>
      <c r="B96" s="28">
        <v>1.19</v>
      </c>
      <c r="C96" s="28">
        <v>1.35</v>
      </c>
      <c r="D96" s="126">
        <v>1.34</v>
      </c>
    </row>
    <row r="97" spans="1:4" ht="15.75" x14ac:dyDescent="0.25">
      <c r="A97" s="23" t="s">
        <v>176</v>
      </c>
      <c r="B97" s="33">
        <v>1.89</v>
      </c>
      <c r="C97" s="33">
        <v>2.54</v>
      </c>
      <c r="D97" s="146">
        <v>1.4</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CORR-1711</ReferenceNumb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b2eccc431d184cd88f502aa68209c99f">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f1aa4372519a0ecab30b913472a2bbac"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5BC272-5B58-4C36-9952-B5C2393286D6}">
  <ds:schemaRefs>
    <ds:schemaRef ds:uri="http://purl.org/dc/terms/"/>
    <ds:schemaRef ds:uri="http://purl.org/dc/elements/1.1/"/>
    <ds:schemaRef ds:uri="http://www.w3.org/XML/1998/namespace"/>
    <ds:schemaRef ds:uri="fa20a1b9-5253-4622-b713-8a03a9ce7eb6"/>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5dd54c98-f711-401e-88cf-12a0c6e75592"/>
    <ds:schemaRef ds:uri="http://schemas.microsoft.com/office/2006/metadata/properties"/>
  </ds:schemaRefs>
</ds:datastoreItem>
</file>

<file path=customXml/itemProps2.xml><?xml version="1.0" encoding="utf-8"?>
<ds:datastoreItem xmlns:ds="http://schemas.openxmlformats.org/officeDocument/2006/customXml" ds:itemID="{B9EBCE77-996D-4D93-951E-26DEED308283}">
  <ds:schemaRefs>
    <ds:schemaRef ds:uri="http://schemas.microsoft.com/sharepoint/v3/contenttype/forms"/>
  </ds:schemaRefs>
</ds:datastoreItem>
</file>

<file path=customXml/itemProps3.xml><?xml version="1.0" encoding="utf-8"?>
<ds:datastoreItem xmlns:ds="http://schemas.openxmlformats.org/officeDocument/2006/customXml" ds:itemID="{EE2FF4FF-80A7-48DF-8820-E1A9BE05B0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Cover_sheet</vt:lpstr>
      <vt:lpstr>Contents</vt:lpstr>
      <vt:lpstr>Country_code_listings</vt:lpstr>
      <vt:lpstr>Notes</vt:lpstr>
      <vt:lpstr>Table_1</vt:lpstr>
      <vt:lpstr>Table_2a</vt:lpstr>
      <vt:lpstr>Table_2b</vt:lpstr>
      <vt:lpstr>Table_3</vt:lpstr>
      <vt:lpstr>Table_4</vt:lpstr>
      <vt:lpstr>Table_5</vt:lpstr>
      <vt:lpstr>Table_6a</vt:lpstr>
      <vt:lpstr>Table_6b</vt:lpstr>
      <vt:lpstr>Table_7</vt:lpstr>
      <vt:lpstr>Country_code_listings!Print_Area</vt:lpstr>
      <vt:lpstr>Country_code_listings!Print_Titles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2025birthbyparentscountry.xlsx</dc:title>
  <dc:subject/>
  <dc:creator>halls1</dc:creator>
  <cp:keywords/>
  <dc:description/>
  <cp:lastModifiedBy>Hall, Steph</cp:lastModifiedBy>
  <cp:revision/>
  <dcterms:created xsi:type="dcterms:W3CDTF">2026-05-19T08:00:31Z</dcterms:created>
  <dcterms:modified xsi:type="dcterms:W3CDTF">2026-09-09T13:14:22Z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ies>
</file>